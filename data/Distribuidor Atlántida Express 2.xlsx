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a19a6ed99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2f51df54fb34e12"/>
    <x:sheet xmlns:r="http://schemas.openxmlformats.org/officeDocument/2006/relationships" name="Pedidos" sheetId="2" r:id="Re559ea1a43e84df0"/>
    <x:sheet xmlns:r="http://schemas.openxmlformats.org/officeDocument/2006/relationships" name="Rutas_Base" sheetId="3" r:id="R658f9a4489824c3f"/>
    <x:sheet xmlns:r="http://schemas.openxmlformats.org/officeDocument/2006/relationships" name="Rutas_Diarias" sheetId="4" r:id="R6108241c23474693"/>
    <x:sheet xmlns:r="http://schemas.openxmlformats.org/officeDocument/2006/relationships" name="Rutas_Comparacion" sheetId="5" r:id="Re1b1530f910241d1"/>
    <x:sheet xmlns:r="http://schemas.openxmlformats.org/officeDocument/2006/relationships" name="Clientes" sheetId="6" r:id="Re39f2ace19aa46dc"/>
    <x:sheet xmlns:r="http://schemas.openxmlformats.org/officeDocument/2006/relationships" name="Vehiculos" sheetId="7" r:id="Rb84fded7b6f74ad8"/>
    <x:sheet xmlns:r="http://schemas.openxmlformats.org/officeDocument/2006/relationships" name="Repartidores" sheetId="8" r:id="Ra221cb71506843d8"/>
    <x:sheet xmlns:r="http://schemas.openxmlformats.org/officeDocument/2006/relationships" name="Parametros_Operacion" sheetId="9" r:id="Re6178ec467d94f0e"/>
    <x:sheet xmlns:r="http://schemas.openxmlformats.org/officeDocument/2006/relationships" name="Indicadores_KPI" sheetId="10" r:id="R30db39eff89c4eaa"/>
    <x:sheet xmlns:r="http://schemas.openxmlformats.org/officeDocument/2006/relationships" name="Contexto_Proyecto" sheetId="11" r:id="R7f3a0bafce9a42ef"/>
    <x:sheet xmlns:r="http://schemas.openxmlformats.org/officeDocument/2006/relationships" name="Diccionario" sheetId="12" r:id="Re5cfe30469e44b43"/>
    <x:sheet xmlns:r="http://schemas.openxmlformats.org/officeDocument/2006/relationships" name="Empresa" sheetId="13" r:id="R9cb69fa83ba5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yyyy-mm-dd hh:mm"/>
    <x:numFmt numFmtId="202" formatCode="0.000000"/>
    <x:numFmt numFmtId="203" formatCode="0.0"/>
    <x:numFmt numFmtId="204" formatCode="#,##0.0000"/>
  </x:numFmts>
  <x:fonts count="3">
    <x:font>
      <x:sz val="11"/>
      <x:name val="Carlito"/>
    </x:font>
    <x:font>
      <x:sz val="10"/>
      <x:color rgb="FF20334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1"/>
      </x:patternFill>
    </x:fill>
    <x:fill>
      <x:patternFill patternType="solid">
        <x:fgColor rgb="FF9D1A2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d92fb1b514433" /><Relationship Type="http://schemas.openxmlformats.org/officeDocument/2006/relationships/theme" Target="/xl/theme/theme1.xml" Id="R50d8e29f4cb44fce" /><Relationship Type="http://schemas.openxmlformats.org/officeDocument/2006/relationships/sharedStrings" Target="/xl/sharedStrings.xml" Id="Rb9cb38d0f8004916" /><Relationship Type="http://schemas.openxmlformats.org/officeDocument/2006/relationships/worksheet" Target="/xl/worksheets/sheet1.xml" Id="R32f51df54fb34e12" /><Relationship Type="http://schemas.openxmlformats.org/officeDocument/2006/relationships/worksheet" Target="/xl/worksheets/sheet2.xml" Id="Re559ea1a43e84df0" /><Relationship Type="http://schemas.openxmlformats.org/officeDocument/2006/relationships/worksheet" Target="/xl/worksheets/sheet3.xml" Id="R658f9a4489824c3f" /><Relationship Type="http://schemas.openxmlformats.org/officeDocument/2006/relationships/worksheet" Target="/xl/worksheets/sheet4.xml" Id="R6108241c23474693" /><Relationship Type="http://schemas.openxmlformats.org/officeDocument/2006/relationships/worksheet" Target="/xl/worksheets/sheet5.xml" Id="Re1b1530f910241d1" /><Relationship Type="http://schemas.openxmlformats.org/officeDocument/2006/relationships/worksheet" Target="/xl/worksheets/sheet6.xml" Id="Re39f2ace19aa46dc" /><Relationship Type="http://schemas.openxmlformats.org/officeDocument/2006/relationships/worksheet" Target="/xl/worksheets/sheet7.xml" Id="Rb84fded7b6f74ad8" /><Relationship Type="http://schemas.openxmlformats.org/officeDocument/2006/relationships/worksheet" Target="/xl/worksheets/sheet8.xml" Id="Ra221cb71506843d8" /><Relationship Type="http://schemas.openxmlformats.org/officeDocument/2006/relationships/worksheet" Target="/xl/worksheets/sheet9.xml" Id="Re6178ec467d94f0e" /><Relationship Type="http://schemas.openxmlformats.org/officeDocument/2006/relationships/worksheet" Target="/xl/worksheets/sheet10.xml" Id="R30db39eff89c4eaa" /><Relationship Type="http://schemas.openxmlformats.org/officeDocument/2006/relationships/worksheet" Target="/xl/worksheets/sheet11.xml" Id="R7f3a0bafce9a42ef" /><Relationship Type="http://schemas.openxmlformats.org/officeDocument/2006/relationships/worksheet" Target="/xl/worksheets/sheet12.xml" Id="Re5cfe30469e44b43" /><Relationship Type="http://schemas.openxmlformats.org/officeDocument/2006/relationships/worksheet" Target="/xl/worksheets/sheet13.xml" Id="R9cb69fa83ba541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329999923706055" hidden="0" customWidth="1"/>
    <x:col min="2" max="2" width="21.110000610351562" hidden="0" customWidth="1"/>
    <x:col min="3" max="3" width="21.110000610351562" hidden="0" customWidth="1"/>
    <x:col min="4" max="4" width="19.440000534057617" hidden="0" customWidth="1"/>
    <x:col min="5" max="5" width="25.559999465942383" hidden="0" customWidth="1"/>
    <x:col min="6" max="6" width="43.33000183105469" hidden="0" customWidth="1"/>
    <x:col min="7" max="7" width="16.670000076293945" hidden="0" customWidth="1"/>
    <x:col min="8" max="8" width="23.329999923706055" hidden="0" customWidth="1"/>
  </x:cols>
  <x:sheetData>
    <x:row r="1" ht="30" customHeight="1">
      <x:c r="A1" s="4" t="str">
        <x:v>DISTRIBUIDORA ATLÁNTIDA EXPRESS</x:v>
      </x:c>
      <x:c r="B1" s="4" t="str">
        <x:v>ANTES Y DESPUÉS</x:v>
      </x:c>
      <x:c r="C1" s="4" t="str"/>
      <x:c r="D1" s="4" t="str"/>
      <x:c r="E1" s="4" t="str">
        <x:v>SIMULACIÓN ACADÉMICA</x:v>
      </x:c>
      <x:c r="F1" s="4" t="str"/>
      <x:c r="G1" s="4" t="str"/>
      <x:c r="H1" s="4" t="str"/>
    </x:row>
    <x:row r="2">
      <x:c r="A2" s="1" t="str">
        <x:v>Periodo</x:v>
      </x:c>
      <x:c r="B2" s="1" t="str">
        <x:v>2026-05-01 al 2026-06-17</x:v>
      </x:c>
      <x:c r="C2" s="1" t="str">
        <x:v>230 pedidos simulados</x:v>
      </x:c>
      <x:c r="D2" s="1" t="str"/>
      <x:c r="E2" s="1" t="str">
        <x:v>Alcance</x:v>
      </x:c>
      <x:c r="F2" s="1" t="str">
        <x:v>Ida + reparto local + regreso</x:v>
      </x:c>
      <x:c r="G2" s="1" t="str"/>
      <x:c r="H2" s="1" t="str"/>
    </x:row>
    <x:row r="3" ht="28" customHeight="1">
      <x:c r="A3" s="3" t="str">
        <x:v>Indicador</x:v>
      </x:c>
      <x:c r="B3" s="3" t="str">
        <x:v>Antes: 8 zonas</x:v>
      </x:c>
      <x:c r="C3" s="3" t="str">
        <x:v>Después: 4 zonas</x:v>
      </x:c>
      <x:c r="D3" s="3" t="str">
        <x:v>Ahorro potencial</x:v>
      </x:c>
      <x:c r="E3" s="1" t="str">
        <x:v>Base comparable</x:v>
      </x:c>
      <x:c r="F3" s="1" t="str">
        <x:v>Mismos pedidos y fechas</x:v>
      </x:c>
      <x:c r="G3" s="1" t="str"/>
      <x:c r="H3" s="1" t="str"/>
    </x:row>
    <x:row r="4">
      <x:c r="A4" s="1" t="str">
        <x:v>Repartidores</x:v>
      </x:c>
      <x:c r="B4" s="5" t="n">
        <x:f>COUNTA(Repartidores!A2:A9)</x:f>
        <x:v>8</x:v>
      </x:c>
      <x:c r="C4" s="5" t="n">
        <x:f>COUNTA(Parametros_Operacion!L2:L5)</x:f>
        <x:v>4</x:v>
      </x:c>
      <x:c r="D4" s="5" t="n">
        <x:f>B4-C4</x:f>
        <x:v>4</x:v>
      </x:c>
      <x:c r="E4" s="1" t="str">
        <x:v>Personal</x:v>
      </x:c>
      <x:c r="F4" s="1" t="str">
        <x:v>Ahorro salarial solo si se reducen puestos</x:v>
      </x:c>
      <x:c r="G4" s="1" t="str"/>
      <x:c r="H4" s="1" t="str"/>
    </x:row>
    <x:row r="5">
      <x:c r="A5" s="1" t="str">
        <x:v>Rutas operadas</x:v>
      </x:c>
      <x:c r="B5" s="5" t="n">
        <x:f>SUM(Rutas_Comparacion!F2:F5)</x:f>
        <x:v>151</x:v>
      </x:c>
      <x:c r="C5" s="5" t="n">
        <x:f>SUM(Rutas_Comparacion!G2:G5)</x:f>
        <x:v>109</x:v>
      </x:c>
      <x:c r="D5" s="5" t="n">
        <x:f>B5-C5</x:f>
        <x:v>42</x:v>
      </x:c>
      <x:c r="E5" s="1" t="str">
        <x:v>Operación</x:v>
      </x:c>
      <x:c r="F5" s="1" t="str">
        <x:v>Una ruta por municipio vs. una por par y día</x:v>
      </x:c>
      <x:c r="G5" s="1" t="str"/>
      <x:c r="H5" s="1" t="str"/>
    </x:row>
    <x:row r="6">
      <x:c r="A6" s="1" t="str">
        <x:v>Distancia total (km)</x:v>
      </x:c>
      <x:c r="B6" s="5" t="n">
        <x:f>SUM(Rutas_Comparacion!H2:H5)</x:f>
        <x:v>16284.809999999998</x:v>
      </x:c>
      <x:c r="C6" s="5" t="n">
        <x:f>SUM(Rutas_Comparacion!I2:I5)</x:f>
        <x:v>13090.069999999998</x:v>
      </x:c>
      <x:c r="D6" s="5" t="n">
        <x:f>SUM(Rutas_Comparacion!J2:J5)</x:f>
        <x:v>3194.74</x:v>
      </x:c>
      <x:c r="E6" s="1" t="str">
        <x:v>Método</x:v>
      </x:c>
      <x:c r="F6" s="1" t="str">
        <x:v>Traslado compartido + reparto local estimado</x:v>
      </x:c>
      <x:c r="G6" s="1" t="str"/>
      <x:c r="H6" s="1" t="str"/>
    </x:row>
    <x:row r="7">
      <x:c r="A7" s="1" t="str">
        <x:v>Combustible (L)</x:v>
      </x:c>
      <x:c r="B7" s="5" t="n">
        <x:f>SUM(Rutas_Comparacion!L2:L5)</x:f>
        <x:v>62242.71</x:v>
      </x:c>
      <x:c r="C7" s="5" t="n">
        <x:f>SUM(Rutas_Comparacion!M2:M5)</x:f>
        <x:v>48250.31</x:v>
      </x:c>
      <x:c r="D7" s="5" t="n">
        <x:f>SUM(Rutas_Comparacion!N2:N5)</x:f>
        <x:v>13992.400000000001</x:v>
      </x:c>
      <x:c r="E7" s="1" t="str">
        <x:v>Precio</x:v>
      </x:c>
      <x:c r="F7" s="1" t="str">
        <x:v>Diésel de septiembre 2026; escenario, no gasto histórico</x:v>
      </x:c>
      <x:c r="G7" s="1" t="str"/>
      <x:c r="H7" s="1" t="str"/>
    </x:row>
    <x:row r="8">
      <x:c r="A8" s="1" t="str">
        <x:v>Tiempo vehículo (min)</x:v>
      </x:c>
      <x:c r="B8" s="5" t="n">
        <x:f>SUM(Rutas_Comparacion!O2:O5)</x:f>
        <x:v>22655</x:v>
      </x:c>
      <x:c r="C8" s="5" t="n">
        <x:f>SUM(Rutas_Comparacion!P2:P5)</x:f>
        <x:v>18381</x:v>
      </x:c>
      <x:c r="D8" s="5" t="n">
        <x:f>SUM(Rutas_Comparacion!Q2:Q5)</x:f>
        <x:v>4274</x:v>
      </x:c>
      <x:c r="E8" s="1" t="str">
        <x:v>Interpretación</x:v>
      </x:c>
      <x:c r="F8" s="1" t="str">
        <x:v>Minutos sumados de vehículos; no puntualidad</x:v>
      </x:c>
      <x:c r="G8" s="1" t="str"/>
      <x:c r="H8" s="1" t="str"/>
    </x:row>
    <x:row r="9">
      <x:c r="A9" s="1" t="str">
        <x:v>Salario mensual supuesto (L)</x:v>
      </x:c>
      <x:c r="B9" s="5" t="n">
        <x:f>B4*Parametros_Operacion!$H$12</x:f>
        <x:v>144000</x:v>
      </x:c>
      <x:c r="C9" s="5" t="n">
        <x:f>C4*Parametros_Operacion!$H$12</x:f>
        <x:v>72000</x:v>
      </x:c>
      <x:c r="D9" s="5" t="n">
        <x:f>B9-C9</x:f>
        <x:v>72000</x:v>
      </x:c>
      <x:c r="E9" s="1" t="str">
        <x:v>Condición</x:v>
      </x:c>
      <x:c r="F9" s="1" t="str">
        <x:v>Si se reasigna personal, el ahorro salarial es cero</x:v>
      </x:c>
      <x:c r="G9" s="1" t="str"/>
      <x:c r="H9" s="1" t="str"/>
    </x:row>
    <x:row r="10">
      <x:c r="A10" s="1" t="str">
        <x:v>Entregas a tiempo (base)</x:v>
      </x:c>
      <x:c r="B10" s="1" t="n">
        <x:f>COUNTIF(Pedidos!R2:R231,"Entregado")</x:f>
        <x:v>211</x:v>
      </x:c>
      <x:c r="C10" s="1" t="str">
        <x:v>Sin validar</x:v>
      </x:c>
      <x:c r="D10" s="1" t="str"/>
      <x:c r="E10" s="1" t="str">
        <x:v>Límite</x:v>
      </x:c>
      <x:c r="F10" s="1" t="str">
        <x:v>Horarios de entrega propuestos requieren simulación</x:v>
      </x:c>
      <x:c r="G10" s="1" t="str"/>
      <x:c r="H10" s="1" t="str"/>
    </x:row>
    <x:row r="11">
      <x:c r="A11" s="3" t="str">
        <x:v>Municipio</x:v>
      </x:c>
      <x:c r="B11" s="3" t="str">
        <x:v>Pedidos</x:v>
      </x:c>
      <x:c r="C11" s="3" t="str">
        <x:v>Retrasados base</x:v>
      </x:c>
      <x:c r="D11" s="3" t="str">
        <x:v>Ingresos (L)</x:v>
      </x:c>
      <x:c r="E11" s="3" t="str"/>
      <x:c r="F11" s="3" t="str"/>
      <x:c r="G11" s="3" t="str"/>
      <x:c r="H11" s="3" t="str"/>
    </x:row>
    <x:row r="12">
      <x:c r="A12" s="1" t="str">
        <x:v>Arizona</x:v>
      </x:c>
      <x:c r="B12" s="1" t="n">
        <x:v>28</x:v>
      </x:c>
      <x:c r="C12" s="1" t="n">
        <x:v>1</x:v>
      </x:c>
      <x:c r="D12" s="1" t="n">
        <x:v>101257.48</x:v>
      </x:c>
      <x:c r="E12" s="1" t="str"/>
      <x:c r="F12" s="1" t="str"/>
      <x:c r="G12" s="1" t="str"/>
      <x:c r="H12" s="1" t="str"/>
    </x:row>
    <x:row r="13">
      <x:c r="A13" s="1" t="str">
        <x:v>El Porvenir</x:v>
      </x:c>
      <x:c r="B13" s="1" t="n">
        <x:v>10</x:v>
      </x:c>
      <x:c r="C13" s="1" t="n">
        <x:v>0</x:v>
      </x:c>
      <x:c r="D13" s="1" t="n">
        <x:v>39677.98</x:v>
      </x:c>
      <x:c r="E13" s="1" t="str"/>
      <x:c r="F13" s="1" t="str"/>
      <x:c r="G13" s="1" t="str"/>
      <x:c r="H13" s="1" t="str"/>
    </x:row>
    <x:row r="14">
      <x:c r="A14" s="1" t="str">
        <x:v>Esparta</x:v>
      </x:c>
      <x:c r="B14" s="1" t="n">
        <x:v>44</x:v>
      </x:c>
      <x:c r="C14" s="1" t="n">
        <x:v>3</x:v>
      </x:c>
      <x:c r="D14" s="1" t="n">
        <x:v>160342.05</x:v>
      </x:c>
      <x:c r="E14" s="1" t="str"/>
      <x:c r="F14" s="1" t="str"/>
      <x:c r="G14" s="1" t="str"/>
      <x:c r="H14" s="1" t="str"/>
    </x:row>
    <x:row r="15">
      <x:c r="A15" s="1" t="str">
        <x:v>Jutiapa</x:v>
      </x:c>
      <x:c r="B15" s="1" t="n">
        <x:v>16</x:v>
      </x:c>
      <x:c r="C15" s="1" t="n">
        <x:v>0</x:v>
      </x:c>
      <x:c r="D15" s="1" t="n">
        <x:v>56187.71</x:v>
      </x:c>
      <x:c r="E15" s="1" t="str"/>
      <x:c r="F15" s="1" t="str"/>
      <x:c r="G15" s="1" t="str"/>
      <x:c r="H15" s="1" t="str"/>
    </x:row>
    <x:row r="16">
      <x:c r="A16" s="1" t="str">
        <x:v>La Ceiba</x:v>
      </x:c>
      <x:c r="B16" s="1" t="n">
        <x:v>37</x:v>
      </x:c>
      <x:c r="C16" s="1" t="n">
        <x:v>0</x:v>
      </x:c>
      <x:c r="D16" s="1" t="n">
        <x:v>141186.93</x:v>
      </x:c>
      <x:c r="E16" s="1" t="str"/>
      <x:c r="F16" s="1" t="str"/>
      <x:c r="G16" s="1" t="str"/>
      <x:c r="H16" s="1" t="str"/>
    </x:row>
    <x:row r="17">
      <x:c r="A17" s="1" t="str">
        <x:v>La Masica</x:v>
      </x:c>
      <x:c r="B17" s="1" t="n">
        <x:v>54</x:v>
      </x:c>
      <x:c r="C17" s="1" t="n">
        <x:v>0</x:v>
      </x:c>
      <x:c r="D17" s="1" t="n">
        <x:v>194540.85</x:v>
      </x:c>
      <x:c r="E17" s="1" t="str"/>
      <x:c r="F17" s="1" t="str"/>
      <x:c r="G17" s="1" t="str"/>
      <x:c r="H17" s="1" t="str"/>
    </x:row>
    <x:row r="18">
      <x:c r="A18" s="1" t="str">
        <x:v>San Francisco</x:v>
      </x:c>
      <x:c r="B18" s="1" t="n">
        <x:v>15</x:v>
      </x:c>
      <x:c r="C18" s="1" t="n">
        <x:v>0</x:v>
      </x:c>
      <x:c r="D18" s="1" t="n">
        <x:v>54473.94</x:v>
      </x:c>
      <x:c r="E18" s="1" t="str"/>
      <x:c r="F18" s="1" t="str"/>
      <x:c r="G18" s="1" t="str"/>
      <x:c r="H18" s="1" t="str"/>
    </x:row>
    <x:row r="19">
      <x:c r="A19" s="1" t="str">
        <x:v>Tela</x:v>
      </x:c>
      <x:c r="B19" s="1" t="n">
        <x:v>26</x:v>
      </x:c>
      <x:c r="C19" s="1" t="n">
        <x:v>15</x:v>
      </x:c>
      <x:c r="D19" s="1" t="n">
        <x:v>89934.14</x:v>
      </x:c>
      <x:c r="E19" s="1" t="str"/>
      <x:c r="F19" s="1" t="str"/>
      <x:c r="G19" s="1" t="str"/>
      <x:c r="H19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18.889999389648438" hidden="0" customWidth="1"/>
    <x:col min="3" max="3" width="11.109999656677246" hidden="0" customWidth="1"/>
    <x:col min="4" max="4" width="24.440000534057617" hidden="0" customWidth="1"/>
    <x:col min="5" max="5" width="16.110000610351562" hidden="0" customWidth="1"/>
    <x:col min="6" max="6" width="12.220000267028809" hidden="0" customWidth="1"/>
    <x:col min="7" max="7" width="12.220000267028809" hidden="0" customWidth="1"/>
    <x:col min="8" max="8" width="13.890000343322754" hidden="0" customWidth="1"/>
    <x:col min="9" max="9" width="19.440000534057617" hidden="0" customWidth="1"/>
    <x:col min="10" max="10" width="12.779999732971191" hidden="0" customWidth="1"/>
    <x:col min="11" max="11" width="20" hidden="0" customWidth="1"/>
    <x:col min="12" max="12" width="20.559999465942383" hidden="0" customWidth="1"/>
    <x:col min="13" max="13" width="12.220000267028809" hidden="0" customWidth="1"/>
    <x:col min="14" max="14" width="12.220000267028809" hidden="0" customWidth="1"/>
    <x:col min="15" max="15" width="12.220000267028809" hidden="0" customWidth="1"/>
    <x:col min="16" max="16" width="13.890000343322754" hidden="0" customWidth="1"/>
    <x:col min="17" max="17" width="16.110000610351562" hidden="0" customWidth="1"/>
    <x:col min="18" max="18" width="15.5600004196167" hidden="0" customWidth="1"/>
    <x:col min="19" max="19" width="12.220000267028809" hidden="0" customWidth="1"/>
    <x:col min="20" max="20" width="15" hidden="0" customWidth="1"/>
    <x:col min="21" max="21" width="18.329999923706055" hidden="0" customWidth="1"/>
    <x:col min="22" max="22" width="15" hidden="0" customWidth="1"/>
    <x:col min="23" max="23" width="13.329999923706055" hidden="0" customWidth="1"/>
    <x:col min="24" max="24" width="16.670000076293945" hidden="0" customWidth="1"/>
    <x:col min="25" max="25" width="20" hidden="0" customWidth="1"/>
  </x:cols>
  <x:sheetData>
    <x:row r="1" ht="30" customHeight="1">
      <x:c r="A1" s="3" t="str">
        <x:v>id_pedido</x:v>
      </x:c>
      <x:c r="B1" s="3" t="str">
        <x:v>fecha_entrega</x:v>
      </x:c>
      <x:c r="C1" s="3" t="str">
        <x:v>id_cliente</x:v>
      </x:c>
      <x:c r="D1" s="3" t="str">
        <x:v>nombre_cliente</x:v>
      </x:c>
      <x:c r="E1" s="3" t="str">
        <x:v>ciudad</x:v>
      </x:c>
      <x:c r="F1" s="3" t="str">
        <x:v>latitud</x:v>
      </x:c>
      <x:c r="G1" s="3" t="str">
        <x:v>longitud</x:v>
      </x:c>
      <x:c r="H1" s="3" t="str">
        <x:v>id_repartidor</x:v>
      </x:c>
      <x:c r="I1" s="3" t="str">
        <x:v>nombre_repartidor</x:v>
      </x:c>
      <x:c r="J1" s="3" t="str">
        <x:v>id_vehiculo</x:v>
      </x:c>
      <x:c r="K1" s="3" t="str">
        <x:v>tipo_vehiculo</x:v>
      </x:c>
      <x:c r="L1" s="3" t="str">
        <x:v>id_ruta</x:v>
      </x:c>
      <x:c r="M1" s="3" t="str">
        <x:v>hora_salida</x:v>
      </x:c>
      <x:c r="N1" s="3" t="str">
        <x:v>hora_llegada</x:v>
      </x:c>
      <x:c r="O1" s="3" t="str">
        <x:v>tiempo_min</x:v>
      </x:c>
      <x:c r="P1" s="3" t="str">
        <x:v>distancia_base_asignada_km</x:v>
      </x:c>
      <x:c r="Q1" s="3" t="str">
        <x:v>costo_combustible_base_L</x:v>
      </x:c>
      <x:c r="R1" s="3" t="str">
        <x:v>estado_entrega</x:v>
      </x:c>
      <x:c r="S1" s="3" t="str">
        <x:v>prioridad</x:v>
      </x:c>
      <x:c r="T1" s="3" t="str">
        <x:v>orden_actual</x:v>
      </x:c>
      <x:c r="U1" s="3" t="str">
        <x:v>orden_local_reordenado</x:v>
      </x:c>
      <x:c r="V1" s="3" t="str">
        <x:v>valor_pedido</x:v>
      </x:c>
      <x:c r="W1" s="3" t="str">
        <x:v>hora_limite</x:v>
      </x:c>
      <x:c r="X1" s="3" t="str">
        <x:v>km_reparto_local_base</x:v>
      </x:c>
      <x:c r="Y1" s="3" t="str">
        <x:v>km_troncal_base_asignado</x:v>
      </x:c>
    </x:row>
    <x:row r="2">
      <x:c r="A2" s="1" t="str">
        <x:v>P0003</x:v>
      </x:c>
      <x:c r="B2" s="6" t="n">
        <x:v>46143.27777777778</x:v>
      </x:c>
      <x:c r="C2" s="1" t="str">
        <x:v>C034</x:v>
      </x:c>
      <x:c r="D2" s="1" t="str">
        <x:v>Abarrotería San Miguel</x:v>
      </x:c>
      <x:c r="E2" s="1" t="str">
        <x:v>La Ceiba</x:v>
      </x:c>
      <x:c r="F2" s="7" t="n">
        <x:v>15.76074276240476</x:v>
      </x:c>
      <x:c r="G2" s="7" t="n">
        <x:v>-86.80879959928019</x:v>
      </x:c>
      <x:c r="H2" s="1" t="str">
        <x:v>R001</x:v>
      </x:c>
      <x:c r="I2" s="1" t="str">
        <x:v>Carlos Mejía</x:v>
      </x:c>
      <x:c r="J2" s="1" t="str">
        <x:v>V001</x:v>
      </x:c>
      <x:c r="K2" s="1" t="str">
        <x:v>Pickup con carrocería</x:v>
      </x:c>
      <x:c r="L2" s="1" t="str">
        <x:v>RT-20260501-R001</x:v>
      </x:c>
      <x:c r="M2" s="1" t="str">
        <x:v>06:30</x:v>
      </x:c>
      <x:c r="N2" s="1" t="str">
        <x:v>06:40</x:v>
      </x:c>
      <x:c r="O2" s="1" t="n">
        <x:v>10</x:v>
      </x:c>
      <x:c r="P2" s="5" t="n">
        <x:f>ROUND(X2+Y2,2)</x:f>
        <x:v>1.79</x:v>
      </x:c>
      <x:c r="Q2" s="5" t="n">
        <x:f>ROUND(P2/Vehiculos!$E$2*Vehiculos!$F$2,2)</x:f>
        <x:v>6.2</x:v>
      </x:c>
      <x:c r="R2" s="1" t="str">
        <x:v>Entregado</x:v>
      </x:c>
      <x:c r="S2" s="1" t="str">
        <x:v>Alta</x:v>
      </x:c>
      <x:c r="T2" s="1" t="n">
        <x:v>1</x:v>
      </x:c>
      <x:c r="U2" s="1" t="n">
        <x:v>1</x:v>
      </x:c>
      <x:c r="V2" s="5" t="n">
        <x:v>2386.19</x:v>
      </x:c>
      <x:c r="W2" s="1" t="str">
        <x:v>08:20</x:v>
      </x:c>
      <x:c r="X2" s="1" t="n">
        <x:v>1.79</x:v>
      </x:c>
      <x:c r="Y2" s="1" t="n">
        <x:f>Parametros_Operacion!$B$6*0</x:f>
        <x:v>0</x:v>
      </x:c>
    </x:row>
    <x:row r="3">
      <x:c r="A3" s="1" t="str">
        <x:v>P0006</x:v>
      </x:c>
      <x:c r="B3" s="6" t="n">
        <x:v>46143.28680555556</x:v>
      </x:c>
      <x:c r="C3" s="1" t="str">
        <x:v>C021</x:v>
      </x:c>
      <x:c r="D3" s="1" t="str">
        <x:v>Pulpería Oseguera</x:v>
      </x:c>
      <x:c r="E3" s="1" t="str">
        <x:v>La Ceiba</x:v>
      </x:c>
      <x:c r="F3" s="7" t="n">
        <x:v>15.75124143723613</x:v>
      </x:c>
      <x:c r="G3" s="7" t="n">
        <x:v>-86.77891677748633</x:v>
      </x:c>
      <x:c r="H3" s="1" t="str">
        <x:v>R001</x:v>
      </x:c>
      <x:c r="I3" s="1" t="str">
        <x:v>Carlos Mejía</x:v>
      </x:c>
      <x:c r="J3" s="1" t="str">
        <x:v>V001</x:v>
      </x:c>
      <x:c r="K3" s="1" t="str">
        <x:v>Pickup con carrocería</x:v>
      </x:c>
      <x:c r="L3" s="1" t="str">
        <x:v>RT-20260501-R001</x:v>
      </x:c>
      <x:c r="M3" s="1" t="str">
        <x:v>06:40</x:v>
      </x:c>
      <x:c r="N3" s="1" t="str">
        <x:v>06:53</x:v>
      </x:c>
      <x:c r="O3" s="1" t="n">
        <x:v>13</x:v>
      </x:c>
      <x:c r="P3" s="5" t="n">
        <x:f>ROUND(X3+Y3,2)</x:f>
        <x:v>7.48</x:v>
      </x:c>
      <x:c r="Q3" s="5" t="n">
        <x:f>ROUND(P3/Vehiculos!$E$2*Vehiculos!$F$2,2)</x:f>
        <x:v>25.93</x:v>
      </x:c>
      <x:c r="R3" s="1" t="str">
        <x:v>Entregado</x:v>
      </x:c>
      <x:c r="S3" s="1" t="str">
        <x:v>Alta</x:v>
      </x:c>
      <x:c r="T3" s="1" t="n">
        <x:v>2</x:v>
      </x:c>
      <x:c r="U3" s="1" t="n">
        <x:v>2</x:v>
      </x:c>
      <x:c r="V3" s="5" t="n">
        <x:v>2958.73</x:v>
      </x:c>
      <x:c r="W3" s="1" t="str">
        <x:v>08:20</x:v>
      </x:c>
      <x:c r="X3" s="1" t="n">
        <x:v>7.48</x:v>
      </x:c>
      <x:c r="Y3" s="1" t="n">
        <x:f>Parametros_Operacion!$B$6*0</x:f>
        <x:v>0</x:v>
      </x:c>
    </x:row>
    <x:row r="4">
      <x:c r="A4" s="1" t="str">
        <x:v>P0002</x:v>
      </x:c>
      <x:c r="B4" s="6" t="n">
        <x:v>46143.31527777778</x:v>
      </x:c>
      <x:c r="C4" s="1" t="str">
        <x:v>C004</x:v>
      </x:c>
      <x:c r="D4" s="1" t="str">
        <x:v>Comercial Rivera</x:v>
      </x:c>
      <x:c r="E4" s="1" t="str">
        <x:v>La Masica</x:v>
      </x:c>
      <x:c r="F4" s="7" t="n">
        <x:v>15.60892338902915</x:v>
      </x:c>
      <x:c r="G4" s="7" t="n">
        <x:v>-86.73871508090915</x:v>
      </x:c>
      <x:c r="H4" s="1" t="str">
        <x:v>R004</x:v>
      </x:c>
      <x:c r="I4" s="1" t="str">
        <x:v>Daniela Cruz</x:v>
      </x:c>
      <x:c r="J4" s="1" t="str">
        <x:v>V004</x:v>
      </x:c>
      <x:c r="K4" s="1" t="str">
        <x:v>Pickup con carrocería</x:v>
      </x:c>
      <x:c r="L4" s="1" t="str">
        <x:v>RT-20260501-R004</x:v>
      </x:c>
      <x:c r="M4" s="1" t="str">
        <x:v>07:20</x:v>
      </x:c>
      <x:c r="N4" s="1" t="str">
        <x:v>07:34</x:v>
      </x:c>
      <x:c r="O4" s="1" t="n">
        <x:v>14</x:v>
      </x:c>
      <x:c r="P4" s="5" t="n">
        <x:f>ROUND(X4+Y4,2)</x:f>
        <x:v>91.56</x:v>
      </x:c>
      <x:c r="Q4" s="5" t="n">
        <x:f>ROUND(P4/Vehiculos!$E$5*Vehiculos!$F$5,2)</x:f>
        <x:v>332.45</x:v>
      </x:c>
      <x:c r="R4" s="1" t="str">
        <x:v>Entregado</x:v>
      </x:c>
      <x:c r="S4" s="1" t="str">
        <x:v>Media</x:v>
      </x:c>
      <x:c r="T4" s="1" t="n">
        <x:v>1</x:v>
      </x:c>
      <x:c r="U4" s="1" t="n">
        <x:v>1</x:v>
      </x:c>
      <x:c r="V4" s="5" t="n">
        <x:v>5705.28</x:v>
      </x:c>
      <x:c r="W4" s="1" t="str">
        <x:v>08:50</x:v>
      </x:c>
      <x:c r="X4" s="1" t="n">
        <x:v>9.16</x:v>
      </x:c>
      <x:c r="Y4" s="1" t="n">
        <x:f>Parametros_Operacion!$B$7*2</x:f>
        <x:v>82.4</x:v>
      </x:c>
    </x:row>
    <x:row r="5">
      <x:c r="A5" s="1" t="str">
        <x:v>P0001</x:v>
      </x:c>
      <x:c r="B5" s="6" t="n">
        <x:v>46143.34166666667</x:v>
      </x:c>
      <x:c r="C5" s="1" t="str">
        <x:v>C060</x:v>
      </x:c>
      <x:c r="D5" s="1" t="str">
        <x:v>Mercadito La Familia</x:v>
      </x:c>
      <x:c r="E5" s="1" t="str">
        <x:v>Arizona</x:v>
      </x:c>
      <x:c r="F5" s="7" t="n">
        <x:v>15.61974440819844</x:v>
      </x:c>
      <x:c r="G5" s="7" t="n">
        <x:v>-87.36335246769889</x:v>
      </x:c>
      <x:c r="H5" s="1" t="str">
        <x:v>R006</x:v>
      </x:c>
      <x:c r="I5" s="1" t="str">
        <x:v>Kevin Flores</x:v>
      </x:c>
      <x:c r="J5" s="1" t="str">
        <x:v>V006</x:v>
      </x:c>
      <x:c r="K5" s="1" t="str">
        <x:v>Pickup con carrocería</x:v>
      </x:c>
      <x:c r="L5" s="1" t="str">
        <x:v>RT-20260501-R006</x:v>
      </x:c>
      <x:c r="M5" s="1" t="str">
        <x:v>08:03</x:v>
      </x:c>
      <x:c r="N5" s="1" t="str">
        <x:v>08:12</x:v>
      </x:c>
      <x:c r="O5" s="1" t="n">
        <x:v>9</x:v>
      </x:c>
      <x:c r="P5" s="5" t="n">
        <x:f>ROUND(X5+Y5,2)</x:f>
        <x:v>73.19</x:v>
      </x:c>
      <x:c r="Q5" s="5" t="n">
        <x:f>ROUND(P5/Vehiculos!$E$7*Vehiculos!$F$7,2)</x:f>
        <x:v>279.04</x:v>
      </x:c>
      <x:c r="R5" s="1" t="str">
        <x:v>Entregado</x:v>
      </x:c>
      <x:c r="S5" s="1" t="str">
        <x:v>Media</x:v>
      </x:c>
      <x:c r="T5" s="1" t="n">
        <x:v>1</x:v>
      </x:c>
      <x:c r="U5" s="1" t="n">
        <x:v>1</x:v>
      </x:c>
      <x:c r="V5" s="5" t="n">
        <x:v>4273.55</x:v>
      </x:c>
      <x:c r="W5" s="1" t="str">
        <x:v>08:50</x:v>
      </x:c>
      <x:c r="X5" s="1" t="n">
        <x:v>0.69</x:v>
      </x:c>
      <x:c r="Y5" s="1" t="n">
        <x:f>Parametros_Operacion!$B$2*1</x:f>
        <x:v>72.5</x:v>
      </x:c>
    </x:row>
    <x:row r="6">
      <x:c r="A6" s="1" t="str">
        <x:v>P0005</x:v>
      </x:c>
      <x:c r="B6" s="6" t="n">
        <x:v>46143.34722222222</x:v>
      </x:c>
      <x:c r="C6" s="1" t="str">
        <x:v>C060</x:v>
      </x:c>
      <x:c r="D6" s="1" t="str">
        <x:v>Mercadito La Familia</x:v>
      </x:c>
      <x:c r="E6" s="1" t="str">
        <x:v>Arizona</x:v>
      </x:c>
      <x:c r="F6" s="7" t="n">
        <x:v>15.61974440819844</x:v>
      </x:c>
      <x:c r="G6" s="7" t="n">
        <x:v>-87.36335246769889</x:v>
      </x:c>
      <x:c r="H6" s="1" t="str">
        <x:v>R006</x:v>
      </x:c>
      <x:c r="I6" s="1" t="str">
        <x:v>Kevin Flores</x:v>
      </x:c>
      <x:c r="J6" s="1" t="str">
        <x:v>V006</x:v>
      </x:c>
      <x:c r="K6" s="1" t="str">
        <x:v>Pickup con carrocería</x:v>
      </x:c>
      <x:c r="L6" s="1" t="str">
        <x:v>RT-20260501-R006</x:v>
      </x:c>
      <x:c r="M6" s="1" t="str">
        <x:v>08:12</x:v>
      </x:c>
      <x:c r="N6" s="1" t="str">
        <x:v>08:20</x:v>
      </x:c>
      <x:c r="O6" s="1" t="n">
        <x:v>8</x:v>
      </x:c>
      <x:c r="P6" s="5" t="n">
        <x:f>ROUND(X6+Y6,2)</x:f>
        <x:v>73.19</x:v>
      </x:c>
      <x:c r="Q6" s="5" t="n">
        <x:f>ROUND(P6/Vehiculos!$E$7*Vehiculos!$F$7,2)</x:f>
        <x:v>279.04</x:v>
      </x:c>
      <x:c r="R6" s="1" t="str">
        <x:v>Entregado</x:v>
      </x:c>
      <x:c r="S6" s="1" t="str">
        <x:v>Alta</x:v>
      </x:c>
      <x:c r="T6" s="1" t="n">
        <x:v>2</x:v>
      </x:c>
      <x:c r="U6" s="1" t="n">
        <x:v>2</x:v>
      </x:c>
      <x:c r="V6" s="5" t="n">
        <x:v>2526.99</x:v>
      </x:c>
      <x:c r="W6" s="1" t="str">
        <x:v>08:20</x:v>
      </x:c>
      <x:c r="X6" s="1" t="n">
        <x:v>0.69</x:v>
      </x:c>
      <x:c r="Y6" s="1" t="n">
        <x:f>Parametros_Operacion!$B$2*1</x:f>
        <x:v>72.5</x:v>
      </x:c>
    </x:row>
    <x:row r="7">
      <x:c r="A7" s="1" t="str">
        <x:v>P0014</x:v>
      </x:c>
      <x:c r="B7" s="6" t="n">
        <x:v>46144.27847222222</x:v>
      </x:c>
      <x:c r="C7" s="1" t="str">
        <x:v>C027</x:v>
      </x:c>
      <x:c r="D7" s="1" t="str">
        <x:v>Distribuidora El Faro</x:v>
      </x:c>
      <x:c r="E7" s="1" t="str">
        <x:v>La Ceiba</x:v>
      </x:c>
      <x:c r="F7" s="7" t="n">
        <x:v>15.76803685728729</x:v>
      </x:c>
      <x:c r="G7" s="7" t="n">
        <x:v>-86.77768801221002</x:v>
      </x:c>
      <x:c r="H7" s="1" t="str">
        <x:v>R001</x:v>
      </x:c>
      <x:c r="I7" s="1" t="str">
        <x:v>Carlos Mejía</x:v>
      </x:c>
      <x:c r="J7" s="1" t="str">
        <x:v>V001</x:v>
      </x:c>
      <x:c r="K7" s="1" t="str">
        <x:v>Pickup con carrocería</x:v>
      </x:c>
      <x:c r="L7" s="1" t="str">
        <x:v>RT-20260502-R001</x:v>
      </x:c>
      <x:c r="M7" s="1" t="str">
        <x:v>06:30</x:v>
      </x:c>
      <x:c r="N7" s="1" t="str">
        <x:v>06:41</x:v>
      </x:c>
      <x:c r="O7" s="1" t="n">
        <x:v>11</x:v>
      </x:c>
      <x:c r="P7" s="5" t="n">
        <x:f>ROUND(X7+Y7,2)</x:f>
        <x:v>5.2</x:v>
      </x:c>
      <x:c r="Q7" s="5" t="n">
        <x:f>ROUND(P7/Vehiculos!$E$2*Vehiculos!$F$2,2)</x:f>
        <x:v>18.02</x:v>
      </x:c>
      <x:c r="R7" s="1" t="str">
        <x:v>Entregado</x:v>
      </x:c>
      <x:c r="S7" s="1" t="str">
        <x:v>Baja</x:v>
      </x:c>
      <x:c r="T7" s="1" t="n">
        <x:v>1</x:v>
      </x:c>
      <x:c r="U7" s="1" t="n">
        <x:v>1</x:v>
      </x:c>
      <x:c r="V7" s="5" t="n">
        <x:v>6504.83</x:v>
      </x:c>
      <x:c r="W7" s="1" t="str">
        <x:v>09:30</x:v>
      </x:c>
      <x:c r="X7" s="1" t="n">
        <x:v>5.2</x:v>
      </x:c>
      <x:c r="Y7" s="1" t="n">
        <x:f>Parametros_Operacion!$B$6*0</x:f>
        <x:v>0</x:v>
      </x:c>
    </x:row>
    <x:row r="8">
      <x:c r="A8" s="1" t="str">
        <x:v>P0013</x:v>
      </x:c>
      <x:c r="B8" s="6" t="n">
        <x:v>46144.30625</x:v>
      </x:c>
      <x:c r="C8" s="1" t="str">
        <x:v>C051</x:v>
      </x:c>
      <x:c r="D8" s="1" t="str">
        <x:v>Pulpería La Esperanza</x:v>
      </x:c>
      <x:c r="E8" s="1" t="str">
        <x:v>Jutiapa</x:v>
      </x:c>
      <x:c r="F8" s="7" t="n">
        <x:v>15.64757132645944</x:v>
      </x:c>
      <x:c r="G8" s="7" t="n">
        <x:v>-86.23647664495304</x:v>
      </x:c>
      <x:c r="H8" s="1" t="str">
        <x:v>R003</x:v>
      </x:c>
      <x:c r="I8" s="1" t="str">
        <x:v>Luis Ramírez</x:v>
      </x:c>
      <x:c r="J8" s="1" t="str">
        <x:v>V003</x:v>
      </x:c>
      <x:c r="K8" s="1" t="str">
        <x:v>Pickup con carrocería</x:v>
      </x:c>
      <x:c r="L8" s="1" t="str">
        <x:v>RT-20260502-R003</x:v>
      </x:c>
      <x:c r="M8" s="1" t="str">
        <x:v>07:10</x:v>
      </x:c>
      <x:c r="N8" s="1" t="str">
        <x:v>07:21</x:v>
      </x:c>
      <x:c r="O8" s="1" t="n">
        <x:v>11</x:v>
      </x:c>
      <x:c r="P8" s="5" t="n">
        <x:f>ROUND(X8+Y8,2)</x:f>
        <x:v>68.04</x:v>
      </x:c>
      <x:c r="Q8" s="5" t="n">
        <x:f>ROUND(P8/Vehiculos!$E$4*Vehiculos!$F$4,2)</x:f>
        <x:v>259.4</x:v>
      </x:c>
      <x:c r="R8" s="1" t="str">
        <x:v>Entregado</x:v>
      </x:c>
      <x:c r="S8" s="1" t="str">
        <x:v>Media</x:v>
      </x:c>
      <x:c r="T8" s="1" t="n">
        <x:v>1</x:v>
      </x:c>
      <x:c r="U8" s="1" t="n">
        <x:v>1</x:v>
      </x:c>
      <x:c r="V8" s="5" t="n">
        <x:v>3494.21</x:v>
      </x:c>
      <x:c r="W8" s="1" t="str">
        <x:v>08:50</x:v>
      </x:c>
      <x:c r="X8" s="1" t="n">
        <x:v>5.24</x:v>
      </x:c>
      <x:c r="Y8" s="1" t="n">
        <x:f>Parametros_Operacion!$B$5*2</x:f>
        <x:v>62.8</x:v>
      </x:c>
    </x:row>
    <x:row r="9">
      <x:c r="A9" s="1" t="str">
        <x:v>P0011</x:v>
      </x:c>
      <x:c r="B9" s="6" t="n">
        <x:v>46144.31319444445</x:v>
      </x:c>
      <x:c r="C9" s="1" t="str">
        <x:v>C050</x:v>
      </x:c>
      <x:c r="D9" s="1" t="str">
        <x:v>Comercial La Costa</x:v>
      </x:c>
      <x:c r="E9" s="1" t="str">
        <x:v>La Masica</x:v>
      </x:c>
      <x:c r="F9" s="7" t="n">
        <x:v>15.64284820490915</x:v>
      </x:c>
      <x:c r="G9" s="7" t="n">
        <x:v>-86.70339478481962</x:v>
      </x:c>
      <x:c r="H9" s="1" t="str">
        <x:v>R004</x:v>
      </x:c>
      <x:c r="I9" s="1" t="str">
        <x:v>Daniela Cruz</x:v>
      </x:c>
      <x:c r="J9" s="1" t="str">
        <x:v>V004</x:v>
      </x:c>
      <x:c r="K9" s="1" t="str">
        <x:v>Pickup con carrocería</x:v>
      </x:c>
      <x:c r="L9" s="1" t="str">
        <x:v>RT-20260502-R004</x:v>
      </x:c>
      <x:c r="M9" s="1" t="str">
        <x:v>07:20</x:v>
      </x:c>
      <x:c r="N9" s="1" t="str">
        <x:v>07:31</x:v>
      </x:c>
      <x:c r="O9" s="1" t="n">
        <x:v>11</x:v>
      </x:c>
      <x:c r="P9" s="5" t="n">
        <x:f>ROUND(X9+Y9,2)</x:f>
        <x:v>87.4</x:v>
      </x:c>
      <x:c r="Q9" s="5" t="n">
        <x:f>ROUND(P9/Vehiculos!$E$5*Vehiculos!$F$5,2)</x:f>
        <x:v>317.35</x:v>
      </x:c>
      <x:c r="R9" s="1" t="str">
        <x:v>Entregado</x:v>
      </x:c>
      <x:c r="S9" s="1" t="str">
        <x:v>Media</x:v>
      </x:c>
      <x:c r="T9" s="1" t="n">
        <x:v>1</x:v>
      </x:c>
      <x:c r="U9" s="1" t="n">
        <x:v>1</x:v>
      </x:c>
      <x:c r="V9" s="5" t="n">
        <x:v>2244.61</x:v>
      </x:c>
      <x:c r="W9" s="1" t="str">
        <x:v>08:50</x:v>
      </x:c>
      <x:c r="X9" s="1" t="n">
        <x:v>5</x:v>
      </x:c>
      <x:c r="Y9" s="1" t="n">
        <x:f>Parametros_Operacion!$B$7*2</x:f>
        <x:v>82.4</x:v>
      </x:c>
    </x:row>
    <x:row r="10">
      <x:c r="A10" s="1" t="str">
        <x:v>P0028</x:v>
      </x:c>
      <x:c r="B10" s="6" t="n">
        <x:v>46145.279861111114</x:v>
      </x:c>
      <x:c r="C10" s="1" t="str">
        <x:v>C058</x:v>
      </x:c>
      <x:c r="D10" s="1" t="str">
        <x:v>Comercial Caribe</x:v>
      </x:c>
      <x:c r="E10" s="1" t="str">
        <x:v>La Ceiba</x:v>
      </x:c>
      <x:c r="F10" s="7" t="n">
        <x:v>15.78884920671411</x:v>
      </x:c>
      <x:c r="G10" s="7" t="n">
        <x:v>-86.81633991045354</x:v>
      </x:c>
      <x:c r="H10" s="1" t="str">
        <x:v>R001</x:v>
      </x:c>
      <x:c r="I10" s="1" t="str">
        <x:v>Carlos Mejía</x:v>
      </x:c>
      <x:c r="J10" s="1" t="str">
        <x:v>V001</x:v>
      </x:c>
      <x:c r="K10" s="1" t="str">
        <x:v>Pickup con carrocería</x:v>
      </x:c>
      <x:c r="L10" s="1" t="str">
        <x:v>RT-20260503-R001</x:v>
      </x:c>
      <x:c r="M10" s="1" t="str">
        <x:v>06:30</x:v>
      </x:c>
      <x:c r="N10" s="1" t="str">
        <x:v>06:43</x:v>
      </x:c>
      <x:c r="O10" s="1" t="n">
        <x:v>13</x:v>
      </x:c>
      <x:c r="P10" s="5" t="n">
        <x:f>ROUND(X10+Y10,2)</x:f>
        <x:v>7.98</x:v>
      </x:c>
      <x:c r="Q10" s="5" t="n">
        <x:f>ROUND(P10/Vehiculos!$E$2*Vehiculos!$F$2,2)</x:f>
        <x:v>27.66</x:v>
      </x:c>
      <x:c r="R10" s="1" t="str">
        <x:v>Entregado</x:v>
      </x:c>
      <x:c r="S10" s="1" t="str">
        <x:v>Media</x:v>
      </x:c>
      <x:c r="T10" s="1" t="n">
        <x:v>1</x:v>
      </x:c>
      <x:c r="U10" s="1" t="n">
        <x:v>1</x:v>
      </x:c>
      <x:c r="V10" s="5" t="n">
        <x:v>6057.56</x:v>
      </x:c>
      <x:c r="W10" s="1" t="str">
        <x:v>08:50</x:v>
      </x:c>
      <x:c r="X10" s="1" t="n">
        <x:v>7.98</x:v>
      </x:c>
      <x:c r="Y10" s="1" t="n">
        <x:f>Parametros_Operacion!$B$6*0</x:f>
        <x:v>0</x:v>
      </x:c>
    </x:row>
    <x:row r="11">
      <x:c r="A11" s="1" t="str">
        <x:v>P0027</x:v>
      </x:c>
      <x:c r="B11" s="6" t="n">
        <x:v>46145.30486111111</x:v>
      </x:c>
      <x:c r="C11" s="1" t="str">
        <x:v>C030</x:v>
      </x:c>
      <x:c r="D11" s="1" t="str">
        <x:v>Comercial La Costa</x:v>
      </x:c>
      <x:c r="E11" s="1" t="str">
        <x:v>Jutiapa</x:v>
      </x:c>
      <x:c r="F11" s="7" t="n">
        <x:v>15.659792178279</x:v>
      </x:c>
      <x:c r="G11" s="7" t="n">
        <x:v>-86.2292721817938</x:v>
      </x:c>
      <x:c r="H11" s="1" t="str">
        <x:v>R003</x:v>
      </x:c>
      <x:c r="I11" s="1" t="str">
        <x:v>Luis Ramírez</x:v>
      </x:c>
      <x:c r="J11" s="1" t="str">
        <x:v>V003</x:v>
      </x:c>
      <x:c r="K11" s="1" t="str">
        <x:v>Pickup con carrocería</x:v>
      </x:c>
      <x:c r="L11" s="1" t="str">
        <x:v>RT-20260503-R003</x:v>
      </x:c>
      <x:c r="M11" s="1" t="str">
        <x:v>07:10</x:v>
      </x:c>
      <x:c r="N11" s="1" t="str">
        <x:v>07:19</x:v>
      </x:c>
      <x:c r="O11" s="1" t="n">
        <x:v>9</x:v>
      </x:c>
      <x:c r="P11" s="5" t="n">
        <x:f>ROUND(X11+Y11,2)</x:f>
        <x:v>64.42</x:v>
      </x:c>
      <x:c r="Q11" s="5" t="n">
        <x:f>ROUND(P11/Vehiculos!$E$4*Vehiculos!$F$4,2)</x:f>
        <x:v>245.6</x:v>
      </x:c>
      <x:c r="R11" s="1" t="str">
        <x:v>Entregado</x:v>
      </x:c>
      <x:c r="S11" s="1" t="str">
        <x:v>Alta</x:v>
      </x:c>
      <x:c r="T11" s="1" t="n">
        <x:v>1</x:v>
      </x:c>
      <x:c r="U11" s="1" t="n">
        <x:v>1</x:v>
      </x:c>
      <x:c r="V11" s="5" t="n">
        <x:v>3695.98</x:v>
      </x:c>
      <x:c r="W11" s="1" t="str">
        <x:v>08:20</x:v>
      </x:c>
      <x:c r="X11" s="1" t="n">
        <x:v>1.62</x:v>
      </x:c>
      <x:c r="Y11" s="1" t="n">
        <x:f>Parametros_Operacion!$B$5*2</x:f>
        <x:v>62.8</x:v>
      </x:c>
    </x:row>
    <x:row r="12">
      <x:c r="A12" s="1" t="str">
        <x:v>P0033</x:v>
      </x:c>
      <x:c r="B12" s="6" t="n">
        <x:v>46145.36944444444</x:v>
      </x:c>
      <x:c r="C12" s="1" t="str">
        <x:v>C046</x:v>
      </x:c>
      <x:c r="D12" s="1" t="str">
        <x:v>Abarrotería El Centro</x:v>
      </x:c>
      <x:c r="E12" s="1" t="str">
        <x:v>Tela</x:v>
      </x:c>
      <x:c r="F12" s="7" t="n">
        <x:v>15.75345936034755</x:v>
      </x:c>
      <x:c r="G12" s="7" t="n">
        <x:v>-87.43026035645514</x:v>
      </x:c>
      <x:c r="H12" s="1" t="str">
        <x:v>R002</x:v>
      </x:c>
      <x:c r="I12" s="1" t="str">
        <x:v>Ana López</x:v>
      </x:c>
      <x:c r="J12" s="1" t="str">
        <x:v>V002</x:v>
      </x:c>
      <x:c r="K12" s="1" t="str">
        <x:v>Pickup con carrocería</x:v>
      </x:c>
      <x:c r="L12" s="1" t="str">
        <x:v>RT-20260503-R002</x:v>
      </x:c>
      <x:c r="M12" s="1" t="str">
        <x:v>08:38</x:v>
      </x:c>
      <x:c r="N12" s="1" t="str">
        <x:v>08:52</x:v>
      </x:c>
      <x:c r="O12" s="1" t="n">
        <x:v>14</x:v>
      </x:c>
      <x:c r="P12" s="5" t="n">
        <x:f>ROUND(X12+Y12,2)</x:f>
        <x:v>213.9</x:v>
      </x:c>
      <x:c r="Q12" s="5" t="n">
        <x:f>ROUND(P12/Vehiculos!$E$3*Vehiculos!$F$3,2)</x:f>
        <x:v>776.67</x:v>
      </x:c>
      <x:c r="R12" s="1" t="str">
        <x:v>Retrasado</x:v>
      </x:c>
      <x:c r="S12" s="1" t="str">
        <x:v>Alta</x:v>
      </x:c>
      <x:c r="T12" s="1" t="n">
        <x:v>1</x:v>
      </x:c>
      <x:c r="U12" s="1" t="n">
        <x:v>1</x:v>
      </x:c>
      <x:c r="V12" s="5" t="n">
        <x:v>3412.16</x:v>
      </x:c>
      <x:c r="W12" s="1" t="str">
        <x:v>08:20</x:v>
      </x:c>
      <x:c r="X12" s="1" t="n">
        <x:v>9.3</x:v>
      </x:c>
      <x:c r="Y12" s="1" t="n">
        <x:f>Parametros_Operacion!$B$9*2</x:f>
        <x:v>204.6</x:v>
      </x:c>
    </x:row>
    <x:row r="13">
      <x:c r="A13" s="1" t="str">
        <x:v>P0007</x:v>
      </x:c>
      <x:c r="B13" s="6" t="n">
        <x:v>46146.31319444445</x:v>
      </x:c>
      <x:c r="C13" s="1" t="str">
        <x:v>C009</x:v>
      </x:c>
      <x:c r="D13" s="1" t="str">
        <x:v>Mini Súper El Triunfo</x:v>
      </x:c>
      <x:c r="E13" s="1" t="str">
        <x:v>San Francisco</x:v>
      </x:c>
      <x:c r="F13" s="7" t="n">
        <x:v>15.6694910790675</x:v>
      </x:c>
      <x:c r="G13" s="7" t="n">
        <x:v>-87.00719051029638</x:v>
      </x:c>
      <x:c r="H13" s="1" t="str">
        <x:v>R005</x:v>
      </x:c>
      <x:c r="I13" s="1" t="str">
        <x:v>José Martínez</x:v>
      </x:c>
      <x:c r="J13" s="1" t="str">
        <x:v>V005</x:v>
      </x:c>
      <x:c r="K13" s="1" t="str">
        <x:v>Camión pequeño</x:v>
      </x:c>
      <x:c r="L13" s="1" t="str">
        <x:v>RT-20260504-R005</x:v>
      </x:c>
      <x:c r="M13" s="1" t="str">
        <x:v>07:19</x:v>
      </x:c>
      <x:c r="N13" s="1" t="str">
        <x:v>07:31</x:v>
      </x:c>
      <x:c r="O13" s="1" t="n">
        <x:v>12</x:v>
      </x:c>
      <x:c r="P13" s="5" t="n">
        <x:f>ROUND(X13+Y13,2)</x:f>
        <x:v>76.04</x:v>
      </x:c>
      <x:c r="Q13" s="5" t="n">
        <x:f>ROUND(P13/Vehiculos!$E$6*Vehiculos!$F$6,2)</x:f>
        <x:v>362.38</x:v>
      </x:c>
      <x:c r="R13" s="1" t="str">
        <x:v>Entregado</x:v>
      </x:c>
      <x:c r="S13" s="1" t="str">
        <x:v>Media</x:v>
      </x:c>
      <x:c r="T13" s="1" t="n">
        <x:v>1</x:v>
      </x:c>
      <x:c r="U13" s="1" t="n">
        <x:v>1</x:v>
      </x:c>
      <x:c r="V13" s="5" t="n">
        <x:v>3537.53</x:v>
      </x:c>
      <x:c r="W13" s="1" t="str">
        <x:v>08:50</x:v>
      </x:c>
      <x:c r="X13" s="1" t="n">
        <x:v>6.04</x:v>
      </x:c>
      <x:c r="Y13" s="1" t="n">
        <x:f>Parametros_Operacion!$B$8*2</x:f>
        <x:v>70</x:v>
      </x:c>
    </x:row>
    <x:row r="14">
      <x:c r="A14" s="1" t="str">
        <x:v>P0038</x:v>
      </x:c>
      <x:c r="B14" s="6" t="n">
        <x:v>46146.31527777778</x:v>
      </x:c>
      <x:c r="C14" s="1" t="str">
        <x:v>C004</x:v>
      </x:c>
      <x:c r="D14" s="1" t="str">
        <x:v>Comercial Rivera</x:v>
      </x:c>
      <x:c r="E14" s="1" t="str">
        <x:v>La Masica</x:v>
      </x:c>
      <x:c r="F14" s="7" t="n">
        <x:v>15.60892338902915</x:v>
      </x:c>
      <x:c r="G14" s="7" t="n">
        <x:v>-86.73871508090915</x:v>
      </x:c>
      <x:c r="H14" s="1" t="str">
        <x:v>R004</x:v>
      </x:c>
      <x:c r="I14" s="1" t="str">
        <x:v>Daniela Cruz</x:v>
      </x:c>
      <x:c r="J14" s="1" t="str">
        <x:v>V004</x:v>
      </x:c>
      <x:c r="K14" s="1" t="str">
        <x:v>Pickup con carrocería</x:v>
      </x:c>
      <x:c r="L14" s="1" t="str">
        <x:v>RT-20260504-R004</x:v>
      </x:c>
      <x:c r="M14" s="1" t="str">
        <x:v>07:20</x:v>
      </x:c>
      <x:c r="N14" s="1" t="str">
        <x:v>07:34</x:v>
      </x:c>
      <x:c r="O14" s="1" t="n">
        <x:v>14</x:v>
      </x:c>
      <x:c r="P14" s="5" t="n">
        <x:f>ROUND(X14+Y14,2)</x:f>
        <x:v>91.56</x:v>
      </x:c>
      <x:c r="Q14" s="5" t="n">
        <x:f>ROUND(P14/Vehiculos!$E$5*Vehiculos!$F$5,2)</x:f>
        <x:v>332.45</x:v>
      </x:c>
      <x:c r="R14" s="1" t="str">
        <x:v>Entregado</x:v>
      </x:c>
      <x:c r="S14" s="1" t="str">
        <x:v>Baja</x:v>
      </x:c>
      <x:c r="T14" s="1" t="n">
        <x:v>1</x:v>
      </x:c>
      <x:c r="U14" s="1" t="n">
        <x:v>1</x:v>
      </x:c>
      <x:c r="V14" s="5" t="n">
        <x:v>5267.91</x:v>
      </x:c>
      <x:c r="W14" s="1" t="str">
        <x:v>09:30</x:v>
      </x:c>
      <x:c r="X14" s="1" t="n">
        <x:v>9.16</x:v>
      </x:c>
      <x:c r="Y14" s="1" t="n">
        <x:f>Parametros_Operacion!$B$7*2</x:f>
        <x:v>82.4</x:v>
      </x:c>
    </x:row>
    <x:row r="15">
      <x:c r="A15" s="1" t="str">
        <x:v>P0035</x:v>
      </x:c>
      <x:c r="B15" s="6" t="n">
        <x:v>46146.34583333333</x:v>
      </x:c>
      <x:c r="C15" s="1" t="str">
        <x:v>C055</x:v>
      </x:c>
      <x:c r="D15" s="1" t="str">
        <x:v>Comercial El Progreso</x:v>
      </x:c>
      <x:c r="E15" s="1" t="str">
        <x:v>Esparta</x:v>
      </x:c>
      <x:c r="F15" s="7" t="n">
        <x:v>15.64577975766732</x:v>
      </x:c>
      <x:c r="G15" s="7" t="n">
        <x:v>-87.27356817326502</x:v>
      </x:c>
      <x:c r="H15" s="1" t="str">
        <x:v>R007</x:v>
      </x:c>
      <x:c r="I15" s="1" t="str">
        <x:v>María Hernández</x:v>
      </x:c>
      <x:c r="J15" s="1" t="str">
        <x:v>V007</x:v>
      </x:c>
      <x:c r="K15" s="1" t="str">
        <x:v>Pickup con carrocería</x:v>
      </x:c>
      <x:c r="L15" s="1" t="str">
        <x:v>RT-20260504-R007</x:v>
      </x:c>
      <x:c r="M15" s="1" t="str">
        <x:v>08:08</x:v>
      </x:c>
      <x:c r="N15" s="1" t="str">
        <x:v>08:18</x:v>
      </x:c>
      <x:c r="O15" s="1" t="n">
        <x:v>10</x:v>
      </x:c>
      <x:c r="P15" s="5" t="n">
        <x:f>ROUND(X15+Y15,2)</x:f>
        <x:v>76.9</x:v>
      </x:c>
      <x:c r="Q15" s="5" t="n">
        <x:f>ROUND(P15/Vehiculos!$E$8*Vehiculos!$F$8,2)</x:f>
        <x:v>293.18</x:v>
      </x:c>
      <x:c r="R15" s="1" t="str">
        <x:v>Entregado</x:v>
      </x:c>
      <x:c r="S15" s="1" t="str">
        <x:v>Media</x:v>
      </x:c>
      <x:c r="T15" s="1" t="n">
        <x:v>1</x:v>
      </x:c>
      <x:c r="U15" s="1" t="n">
        <x:v>1</x:v>
      </x:c>
      <x:c r="V15" s="5" t="n">
        <x:v>2504.37</x:v>
      </x:c>
      <x:c r="W15" s="1" t="str">
        <x:v>08:50</x:v>
      </x:c>
      <x:c r="X15" s="1" t="n">
        <x:v>1.4</x:v>
      </x:c>
      <x:c r="Y15" s="1" t="n">
        <x:f>Parametros_Operacion!$B$4*1</x:f>
        <x:v>75.5</x:v>
      </x:c>
    </x:row>
    <x:row r="16">
      <x:c r="A16" s="1" t="str">
        <x:v>P0004</x:v>
      </x:c>
      <x:c r="B16" s="6" t="n">
        <x:v>46146.35486111111</x:v>
      </x:c>
      <x:c r="C16" s="1" t="str">
        <x:v>C008</x:v>
      </x:c>
      <x:c r="D16" s="1" t="str">
        <x:v>Pulpería El Buen Vecino</x:v>
      </x:c>
      <x:c r="E16" s="1" t="str">
        <x:v>Esparta</x:v>
      </x:c>
      <x:c r="F16" s="7" t="n">
        <x:v>15.66265280736854</x:v>
      </x:c>
      <x:c r="G16" s="7" t="n">
        <x:v>-87.25434499998507</x:v>
      </x:c>
      <x:c r="H16" s="1" t="str">
        <x:v>R007</x:v>
      </x:c>
      <x:c r="I16" s="1" t="str">
        <x:v>María Hernández</x:v>
      </x:c>
      <x:c r="J16" s="1" t="str">
        <x:v>V007</x:v>
      </x:c>
      <x:c r="K16" s="1" t="str">
        <x:v>Pickup con carrocería</x:v>
      </x:c>
      <x:c r="L16" s="1" t="str">
        <x:v>RT-20260504-R007</x:v>
      </x:c>
      <x:c r="M16" s="1" t="str">
        <x:v>08:18</x:v>
      </x:c>
      <x:c r="N16" s="1" t="str">
        <x:v>08:31</x:v>
      </x:c>
      <x:c r="O16" s="1" t="n">
        <x:v>13</x:v>
      </x:c>
      <x:c r="P16" s="5" t="n">
        <x:f>ROUND(X16+Y16,2)</x:f>
        <x:v>3.48</x:v>
      </x:c>
      <x:c r="Q16" s="5" t="n">
        <x:f>ROUND(P16/Vehiculos!$E$8*Vehiculos!$F$8,2)</x:f>
        <x:v>13.27</x:v>
      </x:c>
      <x:c r="R16" s="1" t="str">
        <x:v>Entregado</x:v>
      </x:c>
      <x:c r="S16" s="1" t="str">
        <x:v>Media</x:v>
      </x:c>
      <x:c r="T16" s="1" t="n">
        <x:v>2</x:v>
      </x:c>
      <x:c r="U16" s="1" t="n">
        <x:v>2</x:v>
      </x:c>
      <x:c r="V16" s="5" t="n">
        <x:v>3791.07</x:v>
      </x:c>
      <x:c r="W16" s="1" t="str">
        <x:v>08:50</x:v>
      </x:c>
      <x:c r="X16" s="1" t="n">
        <x:v>3.48</x:v>
      </x:c>
      <x:c r="Y16" s="1" t="n">
        <x:f>Parametros_Operacion!$B$4*0</x:f>
        <x:v>0</x:v>
      </x:c>
    </x:row>
    <x:row r="17">
      <x:c r="A17" s="1" t="str">
        <x:v>P0009</x:v>
      </x:c>
      <x:c r="B17" s="6" t="n">
        <x:v>46146.36041666667</x:v>
      </x:c>
      <x:c r="C17" s="1" t="str">
        <x:v>C008</x:v>
      </x:c>
      <x:c r="D17" s="1" t="str">
        <x:v>Pulpería El Buen Vecino</x:v>
      </x:c>
      <x:c r="E17" s="1" t="str">
        <x:v>Esparta</x:v>
      </x:c>
      <x:c r="F17" s="7" t="n">
        <x:v>15.66265280736854</x:v>
      </x:c>
      <x:c r="G17" s="7" t="n">
        <x:v>-87.25434499998507</x:v>
      </x:c>
      <x:c r="H17" s="1" t="str">
        <x:v>R007</x:v>
      </x:c>
      <x:c r="I17" s="1" t="str">
        <x:v>María Hernández</x:v>
      </x:c>
      <x:c r="J17" s="1" t="str">
        <x:v>V007</x:v>
      </x:c>
      <x:c r="K17" s="1" t="str">
        <x:v>Pickup con carrocería</x:v>
      </x:c>
      <x:c r="L17" s="1" t="str">
        <x:v>RT-20260504-R007</x:v>
      </x:c>
      <x:c r="M17" s="1" t="str">
        <x:v>08:31</x:v>
      </x:c>
      <x:c r="N17" s="1" t="str">
        <x:v>08:39</x:v>
      </x:c>
      <x:c r="O17" s="1" t="n">
        <x:v>8</x:v>
      </x:c>
      <x:c r="P17" s="5" t="n">
        <x:f>ROUND(X17+Y17,2)</x:f>
        <x:v>77.71</x:v>
      </x:c>
      <x:c r="Q17" s="5" t="n">
        <x:f>ROUND(P17/Vehiculos!$E$8*Vehiculos!$F$8,2)</x:f>
        <x:v>296.27</x:v>
      </x:c>
      <x:c r="R17" s="1" t="str">
        <x:v>Entregado</x:v>
      </x:c>
      <x:c r="S17" s="1" t="str">
        <x:v>Media</x:v>
      </x:c>
      <x:c r="T17" s="1" t="n">
        <x:v>3</x:v>
      </x:c>
      <x:c r="U17" s="1" t="n">
        <x:v>3</x:v>
      </x:c>
      <x:c r="V17" s="5" t="n">
        <x:v>2459.3</x:v>
      </x:c>
      <x:c r="W17" s="1" t="str">
        <x:v>08:50</x:v>
      </x:c>
      <x:c r="X17" s="1" t="n">
        <x:v>2.21</x:v>
      </x:c>
      <x:c r="Y17" s="1" t="n">
        <x:f>Parametros_Operacion!$B$4*1</x:f>
        <x:v>75.5</x:v>
      </x:c>
    </x:row>
    <x:row r="18">
      <x:c r="A18" s="1" t="str">
        <x:v>P0015</x:v>
      </x:c>
      <x:c r="B18" s="6" t="n">
        <x:v>46147.27847222222</x:v>
      </x:c>
      <x:c r="C18" s="1" t="str">
        <x:v>C027</x:v>
      </x:c>
      <x:c r="D18" s="1" t="str">
        <x:v>Distribuidora El Faro</x:v>
      </x:c>
      <x:c r="E18" s="1" t="str">
        <x:v>La Ceiba</x:v>
      </x:c>
      <x:c r="F18" s="7" t="n">
        <x:v>15.76803685728729</x:v>
      </x:c>
      <x:c r="G18" s="7" t="n">
        <x:v>-86.77768801221002</x:v>
      </x:c>
      <x:c r="H18" s="1" t="str">
        <x:v>R001</x:v>
      </x:c>
      <x:c r="I18" s="1" t="str">
        <x:v>Carlos Mejía</x:v>
      </x:c>
      <x:c r="J18" s="1" t="str">
        <x:v>V001</x:v>
      </x:c>
      <x:c r="K18" s="1" t="str">
        <x:v>Pickup con carrocería</x:v>
      </x:c>
      <x:c r="L18" s="1" t="str">
        <x:v>RT-20260505-R001</x:v>
      </x:c>
      <x:c r="M18" s="1" t="str">
        <x:v>06:30</x:v>
      </x:c>
      <x:c r="N18" s="1" t="str">
        <x:v>06:41</x:v>
      </x:c>
      <x:c r="O18" s="1" t="n">
        <x:v>11</x:v>
      </x:c>
      <x:c r="P18" s="5" t="n">
        <x:f>ROUND(X18+Y18,2)</x:f>
        <x:v>5.2</x:v>
      </x:c>
      <x:c r="Q18" s="5" t="n">
        <x:f>ROUND(P18/Vehiculos!$E$2*Vehiculos!$F$2,2)</x:f>
        <x:v>18.02</x:v>
      </x:c>
      <x:c r="R18" s="1" t="str">
        <x:v>Entregado</x:v>
      </x:c>
      <x:c r="S18" s="1" t="str">
        <x:v>Baja</x:v>
      </x:c>
      <x:c r="T18" s="1" t="n">
        <x:v>1</x:v>
      </x:c>
      <x:c r="U18" s="1" t="n">
        <x:v>1</x:v>
      </x:c>
      <x:c r="V18" s="5" t="n">
        <x:v>5838.68</x:v>
      </x:c>
      <x:c r="W18" s="1" t="str">
        <x:v>09:30</x:v>
      </x:c>
      <x:c r="X18" s="1" t="n">
        <x:v>5.2</x:v>
      </x:c>
      <x:c r="Y18" s="1" t="n">
        <x:f>Parametros_Operacion!$B$6*0</x:f>
        <x:v>0</x:v>
      </x:c>
    </x:row>
    <x:row r="19">
      <x:c r="A19" s="1" t="str">
        <x:v>P0052</x:v>
      </x:c>
      <x:c r="B19" s="6" t="n">
        <x:v>46147.31458333333</x:v>
      </x:c>
      <x:c r="C19" s="1" t="str">
        <x:v>C022</x:v>
      </x:c>
      <x:c r="D19" s="1" t="str">
        <x:v>Mini Súper La Bendición</x:v>
      </x:c>
      <x:c r="E19" s="1" t="str">
        <x:v>La Masica</x:v>
      </x:c>
      <x:c r="F19" s="7" t="n">
        <x:v>15.64119141911907</x:v>
      </x:c>
      <x:c r="G19" s="7" t="n">
        <x:v>-86.68050338819044</x:v>
      </x:c>
      <x:c r="H19" s="1" t="str">
        <x:v>R004</x:v>
      </x:c>
      <x:c r="I19" s="1" t="str">
        <x:v>Daniela Cruz</x:v>
      </x:c>
      <x:c r="J19" s="1" t="str">
        <x:v>V004</x:v>
      </x:c>
      <x:c r="K19" s="1" t="str">
        <x:v>Pickup con carrocería</x:v>
      </x:c>
      <x:c r="L19" s="1" t="str">
        <x:v>RT-20260505-R004</x:v>
      </x:c>
      <x:c r="M19" s="1" t="str">
        <x:v>07:20</x:v>
      </x:c>
      <x:c r="N19" s="1" t="str">
        <x:v>07:33</x:v>
      </x:c>
      <x:c r="O19" s="1" t="n">
        <x:v>13</x:v>
      </x:c>
      <x:c r="P19" s="5" t="n">
        <x:f>ROUND(X19+Y19,2)</x:f>
        <x:v>45.61</x:v>
      </x:c>
      <x:c r="Q19" s="5" t="n">
        <x:f>ROUND(P19/Vehiculos!$E$5*Vehiculos!$F$5,2)</x:f>
        <x:v>165.61</x:v>
      </x:c>
      <x:c r="R19" s="1" t="str">
        <x:v>Entregado</x:v>
      </x:c>
      <x:c r="S19" s="1" t="str">
        <x:v>Media</x:v>
      </x:c>
      <x:c r="T19" s="1" t="n">
        <x:v>1</x:v>
      </x:c>
      <x:c r="U19" s="1" t="n">
        <x:v>1</x:v>
      </x:c>
      <x:c r="V19" s="5" t="n">
        <x:v>6912.45</x:v>
      </x:c>
      <x:c r="W19" s="1" t="str">
        <x:v>08:50</x:v>
      </x:c>
      <x:c r="X19" s="1" t="n">
        <x:v>4.41</x:v>
      </x:c>
      <x:c r="Y19" s="1" t="n">
        <x:f>Parametros_Operacion!$B$7*1</x:f>
        <x:v>41.2</x:v>
      </x:c>
    </x:row>
    <x:row r="20">
      <x:c r="A20" s="1" t="str">
        <x:v>P0018</x:v>
      </x:c>
      <x:c r="B20" s="6" t="n">
        <x:v>46147.32708333333</x:v>
      </x:c>
      <x:c r="C20" s="1" t="str">
        <x:v>C023</x:v>
      </x:c>
      <x:c r="D20" s="1" t="str">
        <x:v>Supermercado Rafael</x:v>
      </x:c>
      <x:c r="E20" s="1" t="str">
        <x:v>La Masica</x:v>
      </x:c>
      <x:c r="F20" s="7" t="n">
        <x:v>15.6461293985481</x:v>
      </x:c>
      <x:c r="G20" s="7" t="n">
        <x:v>-86.73872358205551</x:v>
      </x:c>
      <x:c r="H20" s="1" t="str">
        <x:v>R004</x:v>
      </x:c>
      <x:c r="I20" s="1" t="str">
        <x:v>Daniela Cruz</x:v>
      </x:c>
      <x:c r="J20" s="1" t="str">
        <x:v>V004</x:v>
      </x:c>
      <x:c r="K20" s="1" t="str">
        <x:v>Pickup con carrocería</x:v>
      </x:c>
      <x:c r="L20" s="1" t="str">
        <x:v>RT-20260505-R004</x:v>
      </x:c>
      <x:c r="M20" s="1" t="str">
        <x:v>07:33</x:v>
      </x:c>
      <x:c r="N20" s="1" t="str">
        <x:v>07:51</x:v>
      </x:c>
      <x:c r="O20" s="1" t="n">
        <x:v>18</x:v>
      </x:c>
      <x:c r="P20" s="5" t="n">
        <x:f>ROUND(X20+Y20,2)</x:f>
        <x:v>53.87</x:v>
      </x:c>
      <x:c r="Q20" s="5" t="n">
        <x:f>ROUND(P20/Vehiculos!$E$5*Vehiculos!$F$5,2)</x:f>
        <x:v>195.6</x:v>
      </x:c>
      <x:c r="R20" s="1" t="str">
        <x:v>Entregado</x:v>
      </x:c>
      <x:c r="S20" s="1" t="str">
        <x:v>Alta</x:v>
      </x:c>
      <x:c r="T20" s="1" t="n">
        <x:v>2</x:v>
      </x:c>
      <x:c r="U20" s="1" t="n">
        <x:v>2</x:v>
      </x:c>
      <x:c r="V20" s="5" t="n">
        <x:v>3167.88</x:v>
      </x:c>
      <x:c r="W20" s="1" t="str">
        <x:v>08:20</x:v>
      </x:c>
      <x:c r="X20" s="1" t="n">
        <x:v>12.67</x:v>
      </x:c>
      <x:c r="Y20" s="1" t="n">
        <x:f>Parametros_Operacion!$B$7*1</x:f>
        <x:v>41.2</x:v>
      </x:c>
    </x:row>
    <x:row r="21">
      <x:c r="A21" s="1" t="str">
        <x:v>P0048</x:v>
      </x:c>
      <x:c r="B21" s="6" t="n">
        <x:v>46147.34375</x:v>
      </x:c>
      <x:c r="C21" s="1" t="str">
        <x:v>C040</x:v>
      </x:c>
      <x:c r="D21" s="1" t="str">
        <x:v>Mercadito La Familia</x:v>
      </x:c>
      <x:c r="E21" s="1" t="str">
        <x:v>Arizona</x:v>
      </x:c>
      <x:c r="F21" s="7" t="n">
        <x:v>15.60480443071797</x:v>
      </x:c>
      <x:c r="G21" s="7" t="n">
        <x:v>-87.339316667913</x:v>
      </x:c>
      <x:c r="H21" s="1" t="str">
        <x:v>R006</x:v>
      </x:c>
      <x:c r="I21" s="1" t="str">
        <x:v>Kevin Flores</x:v>
      </x:c>
      <x:c r="J21" s="1" t="str">
        <x:v>V006</x:v>
      </x:c>
      <x:c r="K21" s="1" t="str">
        <x:v>Pickup con carrocería</x:v>
      </x:c>
      <x:c r="L21" s="1" t="str">
        <x:v>RT-20260505-R006</x:v>
      </x:c>
      <x:c r="M21" s="1" t="str">
        <x:v>08:03</x:v>
      </x:c>
      <x:c r="N21" s="1" t="str">
        <x:v>08:15</x:v>
      </x:c>
      <x:c r="O21" s="1" t="n">
        <x:v>12</x:v>
      </x:c>
      <x:c r="P21" s="5" t="n">
        <x:f>ROUND(X21+Y21,2)</x:f>
        <x:v>151.3</x:v>
      </x:c>
      <x:c r="Q21" s="5" t="n">
        <x:f>ROUND(P21/Vehiculos!$E$7*Vehiculos!$F$7,2)</x:f>
        <x:v>576.84</x:v>
      </x:c>
      <x:c r="R21" s="1" t="str">
        <x:v>Entregado</x:v>
      </x:c>
      <x:c r="S21" s="1" t="str">
        <x:v>Alta</x:v>
      </x:c>
      <x:c r="T21" s="1" t="n">
        <x:v>1</x:v>
      </x:c>
      <x:c r="U21" s="1" t="n">
        <x:v>1</x:v>
      </x:c>
      <x:c r="V21" s="5" t="n">
        <x:v>2507.25</x:v>
      </x:c>
      <x:c r="W21" s="1" t="str">
        <x:v>08:20</x:v>
      </x:c>
      <x:c r="X21" s="1" t="n">
        <x:v>6.3</x:v>
      </x:c>
      <x:c r="Y21" s="1" t="n">
        <x:f>Parametros_Operacion!$B$2*2</x:f>
        <x:v>145</x:v>
      </x:c>
    </x:row>
    <x:row r="22">
      <x:c r="A22" s="1" t="str">
        <x:v>P0050</x:v>
      </x:c>
      <x:c r="B22" s="6" t="n">
        <x:v>46147.34722222222</x:v>
      </x:c>
      <x:c r="C22" s="1" t="str">
        <x:v>C032</x:v>
      </x:c>
      <x:c r="D22" s="1" t="str">
        <x:v>Mini Súper Atlántida</x:v>
      </x:c>
      <x:c r="E22" s="1" t="str">
        <x:v>Esparta</x:v>
      </x:c>
      <x:c r="F22" s="7" t="n">
        <x:v>15.6324518057495</x:v>
      </x:c>
      <x:c r="G22" s="7" t="n">
        <x:v>-87.2624583084211</x:v>
      </x:c>
      <x:c r="H22" s="1" t="str">
        <x:v>R007</x:v>
      </x:c>
      <x:c r="I22" s="1" t="str">
        <x:v>María Hernández</x:v>
      </x:c>
      <x:c r="J22" s="1" t="str">
        <x:v>V007</x:v>
      </x:c>
      <x:c r="K22" s="1" t="str">
        <x:v>Pickup con carrocería</x:v>
      </x:c>
      <x:c r="L22" s="1" t="str">
        <x:v>RT-20260505-R007</x:v>
      </x:c>
      <x:c r="M22" s="1" t="str">
        <x:v>08:08</x:v>
      </x:c>
      <x:c r="N22" s="1" t="str">
        <x:v>08:20</x:v>
      </x:c>
      <x:c r="O22" s="1" t="n">
        <x:v>12</x:v>
      </x:c>
      <x:c r="P22" s="5" t="n">
        <x:f>ROUND(X22+Y22,2)</x:f>
        <x:v>78.68</x:v>
      </x:c>
      <x:c r="Q22" s="5" t="n">
        <x:f>ROUND(P22/Vehiculos!$E$8*Vehiculos!$F$8,2)</x:f>
        <x:v>299.97</x:v>
      </x:c>
      <x:c r="R22" s="1" t="str">
        <x:v>Entregado</x:v>
      </x:c>
      <x:c r="S22" s="1" t="str">
        <x:v>Alta</x:v>
      </x:c>
      <x:c r="T22" s="1" t="n">
        <x:v>1</x:v>
      </x:c>
      <x:c r="U22" s="1" t="n">
        <x:v>1</x:v>
      </x:c>
      <x:c r="V22" s="5" t="n">
        <x:v>849.99</x:v>
      </x:c>
      <x:c r="W22" s="1" t="str">
        <x:v>08:20</x:v>
      </x:c>
      <x:c r="X22" s="1" t="n">
        <x:v>3.18</x:v>
      </x:c>
      <x:c r="Y22" s="1" t="n">
        <x:f>Parametros_Operacion!$B$4*1</x:f>
        <x:v>75.5</x:v>
      </x:c>
    </x:row>
    <x:row r="23">
      <x:c r="A23" s="1" t="str">
        <x:v>P0012</x:v>
      </x:c>
      <x:c r="B23" s="6" t="n">
        <x:v>46147.35555555556</x:v>
      </x:c>
      <x:c r="C23" s="1" t="str">
        <x:v>C045</x:v>
      </x:c>
      <x:c r="D23" s="1" t="str">
        <x:v>Mini Market San José</x:v>
      </x:c>
      <x:c r="E23" s="1" t="str">
        <x:v>Esparta</x:v>
      </x:c>
      <x:c r="F23" s="7" t="n">
        <x:v>15.63866963202749</x:v>
      </x:c>
      <x:c r="G23" s="7" t="n">
        <x:v>-87.28674513285189</x:v>
      </x:c>
      <x:c r="H23" s="1" t="str">
        <x:v>R007</x:v>
      </x:c>
      <x:c r="I23" s="1" t="str">
        <x:v>María Hernández</x:v>
      </x:c>
      <x:c r="J23" s="1" t="str">
        <x:v>V007</x:v>
      </x:c>
      <x:c r="K23" s="1" t="str">
        <x:v>Pickup con carrocería</x:v>
      </x:c>
      <x:c r="L23" s="1" t="str">
        <x:v>RT-20260505-R007</x:v>
      </x:c>
      <x:c r="M23" s="1" t="str">
        <x:v>08:20</x:v>
      </x:c>
      <x:c r="N23" s="1" t="str">
        <x:v>08:32</x:v>
      </x:c>
      <x:c r="O23" s="1" t="n">
        <x:v>12</x:v>
      </x:c>
      <x:c r="P23" s="5" t="n">
        <x:f>ROUND(X23+Y23,2)</x:f>
        <x:v>82.15</x:v>
      </x:c>
      <x:c r="Q23" s="5" t="n">
        <x:f>ROUND(P23/Vehiculos!$E$8*Vehiculos!$F$8,2)</x:f>
        <x:v>313.2</x:v>
      </x:c>
      <x:c r="R23" s="1" t="str">
        <x:v>Entregado</x:v>
      </x:c>
      <x:c r="S23" s="1" t="str">
        <x:v>Media</x:v>
      </x:c>
      <x:c r="T23" s="1" t="n">
        <x:v>2</x:v>
      </x:c>
      <x:c r="U23" s="1" t="n">
        <x:v>2</x:v>
      </x:c>
      <x:c r="V23" s="5" t="n">
        <x:v>5199.65</x:v>
      </x:c>
      <x:c r="W23" s="1" t="str">
        <x:v>08:50</x:v>
      </x:c>
      <x:c r="X23" s="1" t="n">
        <x:v>6.65</x:v>
      </x:c>
      <x:c r="Y23" s="1" t="n">
        <x:f>Parametros_Operacion!$B$4*1</x:f>
        <x:v>75.5</x:v>
      </x:c>
    </x:row>
    <x:row r="24">
      <x:c r="A24" s="1" t="str">
        <x:v>P0064</x:v>
      </x:c>
      <x:c r="B24" s="6" t="n">
        <x:v>46148.28055555555</x:v>
      </x:c>
      <x:c r="C24" s="1" t="str">
        <x:v>C019</x:v>
      </x:c>
      <x:c r="D24" s="1" t="str">
        <x:v>Pulpería El Centroamericano</x:v>
      </x:c>
      <x:c r="E24" s="1" t="str">
        <x:v>La Ceiba</x:v>
      </x:c>
      <x:c r="F24" s="7" t="n">
        <x:v>15.7980269607938</x:v>
      </x:c>
      <x:c r="G24" s="7" t="n">
        <x:v>-86.77402528336896</x:v>
      </x:c>
      <x:c r="H24" s="1" t="str">
        <x:v>R001</x:v>
      </x:c>
      <x:c r="I24" s="1" t="str">
        <x:v>Carlos Mejía</x:v>
      </x:c>
      <x:c r="J24" s="1" t="str">
        <x:v>V001</x:v>
      </x:c>
      <x:c r="K24" s="1" t="str">
        <x:v>Pickup con carrocería</x:v>
      </x:c>
      <x:c r="L24" s="1" t="str">
        <x:v>RT-20260506-R001</x:v>
      </x:c>
      <x:c r="M24" s="1" t="str">
        <x:v>06:30</x:v>
      </x:c>
      <x:c r="N24" s="1" t="str">
        <x:v>06:44</x:v>
      </x:c>
      <x:c r="O24" s="1" t="n">
        <x:v>14</x:v>
      </x:c>
      <x:c r="P24" s="5" t="n">
        <x:f>ROUND(X24+Y24,2)</x:f>
        <x:v>5.31</x:v>
      </x:c>
      <x:c r="Q24" s="5" t="n">
        <x:f>ROUND(P24/Vehiculos!$E$2*Vehiculos!$F$2,2)</x:f>
        <x:v>18.4</x:v>
      </x:c>
      <x:c r="R24" s="1" t="str">
        <x:v>Entregado</x:v>
      </x:c>
      <x:c r="S24" s="1" t="str">
        <x:v>Media</x:v>
      </x:c>
      <x:c r="T24" s="1" t="n">
        <x:v>1</x:v>
      </x:c>
      <x:c r="U24" s="1" t="n">
        <x:v>1</x:v>
      </x:c>
      <x:c r="V24" s="5" t="n">
        <x:v>3820.44</x:v>
      </x:c>
      <x:c r="W24" s="1" t="str">
        <x:v>08:50</x:v>
      </x:c>
      <x:c r="X24" s="1" t="n">
        <x:v>5.31</x:v>
      </x:c>
      <x:c r="Y24" s="1" t="n">
        <x:f>Parametros_Operacion!$B$6*0</x:f>
        <x:v>0</x:v>
      </x:c>
    </x:row>
    <x:row r="25">
      <x:c r="A25" s="1" t="str">
        <x:v>P0032</x:v>
      </x:c>
      <x:c r="B25" s="6" t="n">
        <x:v>46148.28611111111</x:v>
      </x:c>
      <x:c r="C25" s="1" t="str">
        <x:v>C019</x:v>
      </x:c>
      <x:c r="D25" s="1" t="str">
        <x:v>Pulpería El Centroamericano</x:v>
      </x:c>
      <x:c r="E25" s="1" t="str">
        <x:v>La Ceiba</x:v>
      </x:c>
      <x:c r="F25" s="7" t="n">
        <x:v>15.7980269607938</x:v>
      </x:c>
      <x:c r="G25" s="7" t="n">
        <x:v>-86.77402528336896</x:v>
      </x:c>
      <x:c r="H25" s="1" t="str">
        <x:v>R001</x:v>
      </x:c>
      <x:c r="I25" s="1" t="str">
        <x:v>Carlos Mejía</x:v>
      </x:c>
      <x:c r="J25" s="1" t="str">
        <x:v>V001</x:v>
      </x:c>
      <x:c r="K25" s="1" t="str">
        <x:v>Pickup con carrocería</x:v>
      </x:c>
      <x:c r="L25" s="1" t="str">
        <x:v>RT-20260506-R001</x:v>
      </x:c>
      <x:c r="M25" s="1" t="str">
        <x:v>06:44</x:v>
      </x:c>
      <x:c r="N25" s="1" t="str">
        <x:v>06:52</x:v>
      </x:c>
      <x:c r="O25" s="1" t="n">
        <x:v>8</x:v>
      </x:c>
      <x:c r="P25" s="5" t="n">
        <x:f>ROUND(X25+Y25,2)</x:f>
        <x:v>5.31</x:v>
      </x:c>
      <x:c r="Q25" s="5" t="n">
        <x:f>ROUND(P25/Vehiculos!$E$2*Vehiculos!$F$2,2)</x:f>
        <x:v>18.4</x:v>
      </x:c>
      <x:c r="R25" s="1" t="str">
        <x:v>Entregado</x:v>
      </x:c>
      <x:c r="S25" s="1" t="str">
        <x:v>Alta</x:v>
      </x:c>
      <x:c r="T25" s="1" t="n">
        <x:v>2</x:v>
      </x:c>
      <x:c r="U25" s="1" t="n">
        <x:v>2</x:v>
      </x:c>
      <x:c r="V25" s="5" t="n">
        <x:v>657.82</x:v>
      </x:c>
      <x:c r="W25" s="1" t="str">
        <x:v>08:20</x:v>
      </x:c>
      <x:c r="X25" s="1" t="n">
        <x:v>5.31</x:v>
      </x:c>
      <x:c r="Y25" s="1" t="n">
        <x:f>Parametros_Operacion!$B$6*0</x:f>
        <x:v>0</x:v>
      </x:c>
    </x:row>
    <x:row r="26">
      <x:c r="A26" s="1" t="str">
        <x:v>P0061</x:v>
      </x:c>
      <x:c r="B26" s="6" t="n">
        <x:v>46148.31319444445</x:v>
      </x:c>
      <x:c r="C26" s="1" t="str">
        <x:v>C003</x:v>
      </x:c>
      <x:c r="D26" s="1" t="str">
        <x:v>Supermercado Rafael</x:v>
      </x:c>
      <x:c r="E26" s="1" t="str">
        <x:v>San Francisco</x:v>
      </x:c>
      <x:c r="F26" s="7" t="n">
        <x:v>15.64049383890165</x:v>
      </x:c>
      <x:c r="G26" s="7" t="n">
        <x:v>-86.97798878026339</x:v>
      </x:c>
      <x:c r="H26" s="1" t="str">
        <x:v>R005</x:v>
      </x:c>
      <x:c r="I26" s="1" t="str">
        <x:v>José Martínez</x:v>
      </x:c>
      <x:c r="J26" s="1" t="str">
        <x:v>V005</x:v>
      </x:c>
      <x:c r="K26" s="1" t="str">
        <x:v>Camión pequeño</x:v>
      </x:c>
      <x:c r="L26" s="1" t="str">
        <x:v>RT-20260506-R005</x:v>
      </x:c>
      <x:c r="M26" s="1" t="str">
        <x:v>07:19</x:v>
      </x:c>
      <x:c r="N26" s="1" t="str">
        <x:v>07:31</x:v>
      </x:c>
      <x:c r="O26" s="1" t="n">
        <x:v>12</x:v>
      </x:c>
      <x:c r="P26" s="5" t="n">
        <x:f>ROUND(X26+Y26,2)</x:f>
        <x:v>75.68</x:v>
      </x:c>
      <x:c r="Q26" s="5" t="n">
        <x:f>ROUND(P26/Vehiculos!$E$6*Vehiculos!$F$6,2)</x:f>
        <x:v>360.67</x:v>
      </x:c>
      <x:c r="R26" s="1" t="str">
        <x:v>Entregado</x:v>
      </x:c>
      <x:c r="S26" s="1" t="str">
        <x:v>Alta</x:v>
      </x:c>
      <x:c r="T26" s="1" t="n">
        <x:v>1</x:v>
      </x:c>
      <x:c r="U26" s="1" t="n">
        <x:v>1</x:v>
      </x:c>
      <x:c r="V26" s="5" t="n">
        <x:v>6227.67</x:v>
      </x:c>
      <x:c r="W26" s="1" t="str">
        <x:v>08:20</x:v>
      </x:c>
      <x:c r="X26" s="1" t="n">
        <x:v>5.68</x:v>
      </x:c>
      <x:c r="Y26" s="1" t="n">
        <x:f>Parametros_Operacion!$B$8*2</x:f>
        <x:v>70</x:v>
      </x:c>
    </x:row>
    <x:row r="27">
      <x:c r="A27" s="1" t="str">
        <x:v>P0059</x:v>
      </x:c>
      <x:c r="B27" s="6" t="n">
        <x:v>46148.34583333333</x:v>
      </x:c>
      <x:c r="C27" s="1" t="str">
        <x:v>C028</x:v>
      </x:c>
      <x:c r="D27" s="1" t="str">
        <x:v>Pulpería El Buen Vecino</x:v>
      </x:c>
      <x:c r="E27" s="1" t="str">
        <x:v>Esparta</x:v>
      </x:c>
      <x:c r="F27" s="7" t="n">
        <x:v>15.64639811449093</x:v>
      </x:c>
      <x:c r="G27" s="7" t="n">
        <x:v>-87.26933914683686</x:v>
      </x:c>
      <x:c r="H27" s="1" t="str">
        <x:v>R007</x:v>
      </x:c>
      <x:c r="I27" s="1" t="str">
        <x:v>María Hernández</x:v>
      </x:c>
      <x:c r="J27" s="1" t="str">
        <x:v>V007</x:v>
      </x:c>
      <x:c r="K27" s="1" t="str">
        <x:v>Pickup con carrocería</x:v>
      </x:c>
      <x:c r="L27" s="1" t="str">
        <x:v>RT-20260506-R007</x:v>
      </x:c>
      <x:c r="M27" s="1" t="str">
        <x:v>08:08</x:v>
      </x:c>
      <x:c r="N27" s="1" t="str">
        <x:v>08:18</x:v>
      </x:c>
      <x:c r="O27" s="1" t="n">
        <x:v>10</x:v>
      </x:c>
      <x:c r="P27" s="5" t="n">
        <x:f>ROUND(X27+Y27,2)</x:f>
        <x:v>153.3</x:v>
      </x:c>
      <x:c r="Q27" s="5" t="n">
        <x:f>ROUND(P27/Vehiculos!$E$8*Vehiculos!$F$8,2)</x:f>
        <x:v>584.46</x:v>
      </x:c>
      <x:c r="R27" s="1" t="str">
        <x:v>Entregado</x:v>
      </x:c>
      <x:c r="S27" s="1" t="str">
        <x:v>Alta</x:v>
      </x:c>
      <x:c r="T27" s="1" t="n">
        <x:v>1</x:v>
      </x:c>
      <x:c r="U27" s="1" t="n">
        <x:v>1</x:v>
      </x:c>
      <x:c r="V27" s="5" t="n">
        <x:v>3678.63</x:v>
      </x:c>
      <x:c r="W27" s="1" t="str">
        <x:v>08:20</x:v>
      </x:c>
      <x:c r="X27" s="1" t="n">
        <x:v>2.3</x:v>
      </x:c>
      <x:c r="Y27" s="1" t="n">
        <x:f>Parametros_Operacion!$B$4*2</x:f>
        <x:v>151</x:v>
      </x:c>
    </x:row>
    <x:row r="28">
      <x:c r="A28" s="1" t="str">
        <x:v>P0045</x:v>
      </x:c>
      <x:c r="B28" s="6" t="n">
        <x:v>46148.368055555555</x:v>
      </x:c>
      <x:c r="C28" s="1" t="str">
        <x:v>C024</x:v>
      </x:c>
      <x:c r="D28" s="1" t="str">
        <x:v>Comercial Rivera</x:v>
      </x:c>
      <x:c r="E28" s="1" t="str">
        <x:v>Tela</x:v>
      </x:c>
      <x:c r="F28" s="7" t="n">
        <x:v>15.774439556803</x:v>
      </x:c>
      <x:c r="G28" s="7" t="n">
        <x:v>-87.47534140483269</x:v>
      </x:c>
      <x:c r="H28" s="1" t="str">
        <x:v>R002</x:v>
      </x:c>
      <x:c r="I28" s="1" t="str">
        <x:v>Ana López</x:v>
      </x:c>
      <x:c r="J28" s="1" t="str">
        <x:v>V002</x:v>
      </x:c>
      <x:c r="K28" s="1" t="str">
        <x:v>Pickup con carrocería</x:v>
      </x:c>
      <x:c r="L28" s="1" t="str">
        <x:v>RT-20260506-R002</x:v>
      </x:c>
      <x:c r="M28" s="1" t="str">
        <x:v>08:38</x:v>
      </x:c>
      <x:c r="N28" s="1" t="str">
        <x:v>08:50</x:v>
      </x:c>
      <x:c r="O28" s="1" t="n">
        <x:v>12</x:v>
      </x:c>
      <x:c r="P28" s="5" t="n">
        <x:f>ROUND(X28+Y28,2)</x:f>
        <x:v>210.46</x:v>
      </x:c>
      <x:c r="Q28" s="5" t="n">
        <x:f>ROUND(P28/Vehiculos!$E$3*Vehiculos!$F$3,2)</x:f>
        <x:v>764.18</x:v>
      </x:c>
      <x:c r="R28" s="1" t="str">
        <x:v>Retrasado</x:v>
      </x:c>
      <x:c r="S28" s="1" t="str">
        <x:v>Alta</x:v>
      </x:c>
      <x:c r="T28" s="1" t="n">
        <x:v>1</x:v>
      </x:c>
      <x:c r="U28" s="1" t="n">
        <x:v>1</x:v>
      </x:c>
      <x:c r="V28" s="5" t="n">
        <x:v>5506.58</x:v>
      </x:c>
      <x:c r="W28" s="1" t="str">
        <x:v>08:20</x:v>
      </x:c>
      <x:c r="X28" s="1" t="n">
        <x:v>5.86</x:v>
      </x:c>
      <x:c r="Y28" s="1" t="n">
        <x:f>Parametros_Operacion!$B$9*2</x:f>
        <x:v>204.6</x:v>
      </x:c>
    </x:row>
    <x:row r="29">
      <x:c r="A29" s="1" t="str">
        <x:v>P0076</x:v>
      </x:c>
      <x:c r="B29" s="6" t="n">
        <x:v>46149.28055555555</x:v>
      </x:c>
      <x:c r="C29" s="1" t="str">
        <x:v>C019</x:v>
      </x:c>
      <x:c r="D29" s="1" t="str">
        <x:v>Pulpería El Centroamericano</x:v>
      </x:c>
      <x:c r="E29" s="1" t="str">
        <x:v>La Ceiba</x:v>
      </x:c>
      <x:c r="F29" s="7" t="n">
        <x:v>15.7980269607938</x:v>
      </x:c>
      <x:c r="G29" s="7" t="n">
        <x:v>-86.77402528336896</x:v>
      </x:c>
      <x:c r="H29" s="1" t="str">
        <x:v>R001</x:v>
      </x:c>
      <x:c r="I29" s="1" t="str">
        <x:v>Carlos Mejía</x:v>
      </x:c>
      <x:c r="J29" s="1" t="str">
        <x:v>V001</x:v>
      </x:c>
      <x:c r="K29" s="1" t="str">
        <x:v>Pickup con carrocería</x:v>
      </x:c>
      <x:c r="L29" s="1" t="str">
        <x:v>RT-20260507-R001</x:v>
      </x:c>
      <x:c r="M29" s="1" t="str">
        <x:v>06:30</x:v>
      </x:c>
      <x:c r="N29" s="1" t="str">
        <x:v>06:44</x:v>
      </x:c>
      <x:c r="O29" s="1" t="n">
        <x:v>14</x:v>
      </x:c>
      <x:c r="P29" s="5" t="n">
        <x:f>ROUND(X29+Y29,2)</x:f>
        <x:v>5.31</x:v>
      </x:c>
      <x:c r="Q29" s="5" t="n">
        <x:f>ROUND(P29/Vehiculos!$E$2*Vehiculos!$F$2,2)</x:f>
        <x:v>18.4</x:v>
      </x:c>
      <x:c r="R29" s="1" t="str">
        <x:v>Entregado</x:v>
      </x:c>
      <x:c r="S29" s="1" t="str">
        <x:v>Media</x:v>
      </x:c>
      <x:c r="T29" s="1" t="n">
        <x:v>1</x:v>
      </x:c>
      <x:c r="U29" s="1" t="n">
        <x:v>1</x:v>
      </x:c>
      <x:c r="V29" s="5" t="n">
        <x:v>4464.69</x:v>
      </x:c>
      <x:c r="W29" s="1" t="str">
        <x:v>08:50</x:v>
      </x:c>
      <x:c r="X29" s="1" t="n">
        <x:v>5.31</x:v>
      </x:c>
      <x:c r="Y29" s="1" t="n">
        <x:f>Parametros_Operacion!$B$6*0</x:f>
        <x:v>0</x:v>
      </x:c>
    </x:row>
    <x:row r="30">
      <x:c r="A30" s="1" t="str">
        <x:v>P0074</x:v>
      </x:c>
      <x:c r="B30" s="6" t="n">
        <x:v>46149.28958333333</x:v>
      </x:c>
      <x:c r="C30" s="1" t="str">
        <x:v>C027</x:v>
      </x:c>
      <x:c r="D30" s="1" t="str">
        <x:v>Distribuidora El Faro</x:v>
      </x:c>
      <x:c r="E30" s="1" t="str">
        <x:v>La Ceiba</x:v>
      </x:c>
      <x:c r="F30" s="7" t="n">
        <x:v>15.76803685728729</x:v>
      </x:c>
      <x:c r="G30" s="7" t="n">
        <x:v>-86.77768801221002</x:v>
      </x:c>
      <x:c r="H30" s="1" t="str">
        <x:v>R001</x:v>
      </x:c>
      <x:c r="I30" s="1" t="str">
        <x:v>Carlos Mejía</x:v>
      </x:c>
      <x:c r="J30" s="1" t="str">
        <x:v>V001</x:v>
      </x:c>
      <x:c r="K30" s="1" t="str">
        <x:v>Pickup con carrocería</x:v>
      </x:c>
      <x:c r="L30" s="1" t="str">
        <x:v>RT-20260507-R001</x:v>
      </x:c>
      <x:c r="M30" s="1" t="str">
        <x:v>06:44</x:v>
      </x:c>
      <x:c r="N30" s="1" t="str">
        <x:v>06:57</x:v>
      </x:c>
      <x:c r="O30" s="1" t="n">
        <x:v>13</x:v>
      </x:c>
      <x:c r="P30" s="5" t="n">
        <x:f>ROUND(X30+Y30,2)</x:f>
        <x:v>4.2</x:v>
      </x:c>
      <x:c r="Q30" s="5" t="n">
        <x:f>ROUND(P30/Vehiculos!$E$2*Vehiculos!$F$2,2)</x:f>
        <x:v>14.56</x:v>
      </x:c>
      <x:c r="R30" s="1" t="str">
        <x:v>Entregado</x:v>
      </x:c>
      <x:c r="S30" s="1" t="str">
        <x:v>Alta</x:v>
      </x:c>
      <x:c r="T30" s="1" t="n">
        <x:v>2</x:v>
      </x:c>
      <x:c r="U30" s="1" t="n">
        <x:v>2</x:v>
      </x:c>
      <x:c r="V30" s="5" t="n">
        <x:v>3140.41</x:v>
      </x:c>
      <x:c r="W30" s="1" t="str">
        <x:v>08:20</x:v>
      </x:c>
      <x:c r="X30" s="1" t="n">
        <x:v>4.2</x:v>
      </x:c>
      <x:c r="Y30" s="1" t="n">
        <x:f>Parametros_Operacion!$B$6*0</x:f>
        <x:v>0</x:v>
      </x:c>
    </x:row>
    <x:row r="31">
      <x:c r="A31" s="1" t="str">
        <x:v>P0070</x:v>
      </x:c>
      <x:c r="B31" s="6" t="n">
        <x:v>46149.29861111111</x:v>
      </x:c>
      <x:c r="C31" s="1" t="str">
        <x:v>C043</x:v>
      </x:c>
      <x:c r="D31" s="1" t="str">
        <x:v>Supermercado Rafael</x:v>
      </x:c>
      <x:c r="E31" s="1" t="str">
        <x:v>La Ceiba</x:v>
      </x:c>
      <x:c r="F31" s="7" t="n">
        <x:v>15.74117500406553</x:v>
      </x:c>
      <x:c r="G31" s="7" t="n">
        <x:v>-86.76923431354687</x:v>
      </x:c>
      <x:c r="H31" s="1" t="str">
        <x:v>R001</x:v>
      </x:c>
      <x:c r="I31" s="1" t="str">
        <x:v>Carlos Mejía</x:v>
      </x:c>
      <x:c r="J31" s="1" t="str">
        <x:v>V001</x:v>
      </x:c>
      <x:c r="K31" s="1" t="str">
        <x:v>Pickup con carrocería</x:v>
      </x:c>
      <x:c r="L31" s="1" t="str">
        <x:v>RT-20260507-R001</x:v>
      </x:c>
      <x:c r="M31" s="1" t="str">
        <x:v>06:57</x:v>
      </x:c>
      <x:c r="N31" s="1" t="str">
        <x:v>07:10</x:v>
      </x:c>
      <x:c r="O31" s="1" t="n">
        <x:v>13</x:v>
      </x:c>
      <x:c r="P31" s="5" t="n">
        <x:f>ROUND(X31+Y31,2)</x:f>
        <x:v>3.9</x:v>
      </x:c>
      <x:c r="Q31" s="5" t="n">
        <x:f>ROUND(P31/Vehiculos!$E$2*Vehiculos!$F$2,2)</x:f>
        <x:v>13.52</x:v>
      </x:c>
      <x:c r="R31" s="1" t="str">
        <x:v>Entregado</x:v>
      </x:c>
      <x:c r="S31" s="1" t="str">
        <x:v>Media</x:v>
      </x:c>
      <x:c r="T31" s="1" t="n">
        <x:v>3</x:v>
      </x:c>
      <x:c r="U31" s="1" t="n">
        <x:v>4</x:v>
      </x:c>
      <x:c r="V31" s="5" t="n">
        <x:v>1755.99</x:v>
      </x:c>
      <x:c r="W31" s="1" t="str">
        <x:v>08:50</x:v>
      </x:c>
      <x:c r="X31" s="1" t="n">
        <x:v>3.9</x:v>
      </x:c>
      <x:c r="Y31" s="1" t="n">
        <x:f>Parametros_Operacion!$B$6*0</x:f>
        <x:v>0</x:v>
      </x:c>
    </x:row>
    <x:row r="32">
      <x:c r="A32" s="1" t="str">
        <x:v>P0039</x:v>
      </x:c>
      <x:c r="B32" s="6" t="n">
        <x:v>46149.30763888889</x:v>
      </x:c>
      <x:c r="C32" s="1" t="str">
        <x:v>C027</x:v>
      </x:c>
      <x:c r="D32" s="1" t="str">
        <x:v>Distribuidora El Faro</x:v>
      </x:c>
      <x:c r="E32" s="1" t="str">
        <x:v>La Ceiba</x:v>
      </x:c>
      <x:c r="F32" s="7" t="n">
        <x:v>15.76803685728729</x:v>
      </x:c>
      <x:c r="G32" s="7" t="n">
        <x:v>-86.77768801221002</x:v>
      </x:c>
      <x:c r="H32" s="1" t="str">
        <x:v>R001</x:v>
      </x:c>
      <x:c r="I32" s="1" t="str">
        <x:v>Carlos Mejía</x:v>
      </x:c>
      <x:c r="J32" s="1" t="str">
        <x:v>V001</x:v>
      </x:c>
      <x:c r="K32" s="1" t="str">
        <x:v>Pickup con carrocería</x:v>
      </x:c>
      <x:c r="L32" s="1" t="str">
        <x:v>RT-20260507-R001</x:v>
      </x:c>
      <x:c r="M32" s="1" t="str">
        <x:v>07:10</x:v>
      </x:c>
      <x:c r="N32" s="1" t="str">
        <x:v>07:23</x:v>
      </x:c>
      <x:c r="O32" s="1" t="n">
        <x:v>13</x:v>
      </x:c>
      <x:c r="P32" s="5" t="n">
        <x:f>ROUND(X32+Y32,2)</x:f>
        <x:v>6.5</x:v>
      </x:c>
      <x:c r="Q32" s="5" t="n">
        <x:f>ROUND(P32/Vehiculos!$E$2*Vehiculos!$F$2,2)</x:f>
        <x:v>22.53</x:v>
      </x:c>
      <x:c r="R32" s="1" t="str">
        <x:v>Entregado</x:v>
      </x:c>
      <x:c r="S32" s="1" t="str">
        <x:v>Baja</x:v>
      </x:c>
      <x:c r="T32" s="1" t="n">
        <x:v>4</x:v>
      </x:c>
      <x:c r="U32" s="1" t="n">
        <x:v>3</x:v>
      </x:c>
      <x:c r="V32" s="5" t="n">
        <x:v>5959.67</x:v>
      </x:c>
      <x:c r="W32" s="1" t="str">
        <x:v>09:30</x:v>
      </x:c>
      <x:c r="X32" s="1" t="n">
        <x:v>6.5</x:v>
      </x:c>
      <x:c r="Y32" s="1" t="n">
        <x:f>Parametros_Operacion!$B$6*0</x:f>
        <x:v>0</x:v>
      </x:c>
    </x:row>
    <x:row r="33">
      <x:c r="A33" s="1" t="str">
        <x:v>P0036</x:v>
      </x:c>
      <x:c r="B33" s="6" t="n">
        <x:v>46149.3125</x:v>
      </x:c>
      <x:c r="C33" s="1" t="str">
        <x:v>C002</x:v>
      </x:c>
      <x:c r="D33" s="1" t="str">
        <x:v>Mini Súper La Bendición</x:v>
      </x:c>
      <x:c r="E33" s="1" t="str">
        <x:v>La Masica</x:v>
      </x:c>
      <x:c r="F33" s="7" t="n">
        <x:v>15.63536931179393</x:v>
      </x:c>
      <x:c r="G33" s="7" t="n">
        <x:v>-86.70950059688887</x:v>
      </x:c>
      <x:c r="H33" s="1" t="str">
        <x:v>R004</x:v>
      </x:c>
      <x:c r="I33" s="1" t="str">
        <x:v>Daniela Cruz</x:v>
      </x:c>
      <x:c r="J33" s="1" t="str">
        <x:v>V004</x:v>
      </x:c>
      <x:c r="K33" s="1" t="str">
        <x:v>Pickup con carrocería</x:v>
      </x:c>
      <x:c r="L33" s="1" t="str">
        <x:v>RT-20260507-R004</x:v>
      </x:c>
      <x:c r="M33" s="1" t="str">
        <x:v>07:20</x:v>
      </x:c>
      <x:c r="N33" s="1" t="str">
        <x:v>07:30</x:v>
      </x:c>
      <x:c r="O33" s="1" t="n">
        <x:v>10</x:v>
      </x:c>
      <x:c r="P33" s="5" t="n">
        <x:f>ROUND(X33+Y33,2)</x:f>
        <x:v>42.53</x:v>
      </x:c>
      <x:c r="Q33" s="5" t="n">
        <x:f>ROUND(P33/Vehiculos!$E$5*Vehiculos!$F$5,2)</x:f>
        <x:v>154.43</x:v>
      </x:c>
      <x:c r="R33" s="1" t="str">
        <x:v>Entregado</x:v>
      </x:c>
      <x:c r="S33" s="1" t="str">
        <x:v>Baja</x:v>
      </x:c>
      <x:c r="T33" s="1" t="n">
        <x:v>1</x:v>
      </x:c>
      <x:c r="U33" s="1" t="n">
        <x:v>1</x:v>
      </x:c>
      <x:c r="V33" s="5" t="n">
        <x:v>2807.96</x:v>
      </x:c>
      <x:c r="W33" s="1" t="str">
        <x:v>09:30</x:v>
      </x:c>
      <x:c r="X33" s="1" t="n">
        <x:v>1.33</x:v>
      </x:c>
      <x:c r="Y33" s="1" t="n">
        <x:f>Parametros_Operacion!$B$7*1</x:f>
        <x:v>41.2</x:v>
      </x:c>
    </x:row>
    <x:row r="34">
      <x:c r="A34" s="1" t="str">
        <x:v>P0075</x:v>
      </x:c>
      <x:c r="B34" s="6" t="n">
        <x:v>46149.32152777778</x:v>
      </x:c>
      <x:c r="C34" s="1" t="str">
        <x:v>C057</x:v>
      </x:c>
      <x:c r="D34" s="1" t="str">
        <x:v>Mini Súper El Parque</x:v>
      </x:c>
      <x:c r="E34" s="1" t="str">
        <x:v>La Masica</x:v>
      </x:c>
      <x:c r="F34" s="7" t="n">
        <x:v>15.6202804391031</x:v>
      </x:c>
      <x:c r="G34" s="7" t="n">
        <x:v>-86.73776915488939</x:v>
      </x:c>
      <x:c r="H34" s="1" t="str">
        <x:v>R004</x:v>
      </x:c>
      <x:c r="I34" s="1" t="str">
        <x:v>Daniela Cruz</x:v>
      </x:c>
      <x:c r="J34" s="1" t="str">
        <x:v>V004</x:v>
      </x:c>
      <x:c r="K34" s="1" t="str">
        <x:v>Pickup con carrocería</x:v>
      </x:c>
      <x:c r="L34" s="1" t="str">
        <x:v>RT-20260507-R004</x:v>
      </x:c>
      <x:c r="M34" s="1" t="str">
        <x:v>07:30</x:v>
      </x:c>
      <x:c r="N34" s="1" t="str">
        <x:v>07:43</x:v>
      </x:c>
      <x:c r="O34" s="1" t="n">
        <x:v>13</x:v>
      </x:c>
      <x:c r="P34" s="5" t="n">
        <x:f>ROUND(X34+Y34,2)</x:f>
        <x:v>49.42</x:v>
      </x:c>
      <x:c r="Q34" s="5" t="n">
        <x:f>ROUND(P34/Vehiculos!$E$5*Vehiculos!$F$5,2)</x:f>
        <x:v>179.44</x:v>
      </x:c>
      <x:c r="R34" s="1" t="str">
        <x:v>Entregado</x:v>
      </x:c>
      <x:c r="S34" s="1" t="str">
        <x:v>Media</x:v>
      </x:c>
      <x:c r="T34" s="1" t="n">
        <x:v>2</x:v>
      </x:c>
      <x:c r="U34" s="1" t="n">
        <x:v>2</x:v>
      </x:c>
      <x:c r="V34" s="5" t="n">
        <x:v>3943.95</x:v>
      </x:c>
      <x:c r="W34" s="1" t="str">
        <x:v>08:50</x:v>
      </x:c>
      <x:c r="X34" s="1" t="n">
        <x:v>8.22</x:v>
      </x:c>
      <x:c r="Y34" s="1" t="n">
        <x:f>Parametros_Operacion!$B$7*1</x:f>
        <x:v>41.2</x:v>
      </x:c>
    </x:row>
    <x:row r="35">
      <x:c r="A35" s="1" t="str">
        <x:v>P0008</x:v>
      </x:c>
      <x:c r="B35" s="6" t="n">
        <x:v>46149.34375</x:v>
      </x:c>
      <x:c r="C35" s="1" t="str">
        <x:v>C040</x:v>
      </x:c>
      <x:c r="D35" s="1" t="str">
        <x:v>Mercadito La Familia</x:v>
      </x:c>
      <x:c r="E35" s="1" t="str">
        <x:v>Arizona</x:v>
      </x:c>
      <x:c r="F35" s="7" t="n">
        <x:v>15.60480443071797</x:v>
      </x:c>
      <x:c r="G35" s="7" t="n">
        <x:v>-87.339316667913</x:v>
      </x:c>
      <x:c r="H35" s="1" t="str">
        <x:v>R006</x:v>
      </x:c>
      <x:c r="I35" s="1" t="str">
        <x:v>Kevin Flores</x:v>
      </x:c>
      <x:c r="J35" s="1" t="str">
        <x:v>V006</x:v>
      </x:c>
      <x:c r="K35" s="1" t="str">
        <x:v>Pickup con carrocería</x:v>
      </x:c>
      <x:c r="L35" s="1" t="str">
        <x:v>RT-20260507-R006</x:v>
      </x:c>
      <x:c r="M35" s="1" t="str">
        <x:v>08:03</x:v>
      </x:c>
      <x:c r="N35" s="1" t="str">
        <x:v>08:15</x:v>
      </x:c>
      <x:c r="O35" s="1" t="n">
        <x:v>12</x:v>
      </x:c>
      <x:c r="P35" s="5" t="n">
        <x:f>ROUND(X35+Y35,2)</x:f>
        <x:v>151.3</x:v>
      </x:c>
      <x:c r="Q35" s="5" t="n">
        <x:f>ROUND(P35/Vehiculos!$E$7*Vehiculos!$F$7,2)</x:f>
        <x:v>576.84</x:v>
      </x:c>
      <x:c r="R35" s="1" t="str">
        <x:v>Entregado</x:v>
      </x:c>
      <x:c r="S35" s="1" t="str">
        <x:v>Alta</x:v>
      </x:c>
      <x:c r="T35" s="1" t="n">
        <x:v>1</x:v>
      </x:c>
      <x:c r="U35" s="1" t="n">
        <x:v>1</x:v>
      </x:c>
      <x:c r="V35" s="5" t="n">
        <x:v>1439.36</x:v>
      </x:c>
      <x:c r="W35" s="1" t="str">
        <x:v>08:20</x:v>
      </x:c>
      <x:c r="X35" s="1" t="n">
        <x:v>6.3</x:v>
      </x:c>
      <x:c r="Y35" s="1" t="n">
        <x:f>Parametros_Operacion!$B$2*2</x:f>
        <x:v>145</x:v>
      </x:c>
    </x:row>
    <x:row r="36">
      <x:c r="A36" s="1" t="str">
        <x:v>P0010</x:v>
      </x:c>
      <x:c r="B36" s="6" t="n">
        <x:v>46149.34583333333</x:v>
      </x:c>
      <x:c r="C36" s="1" t="str">
        <x:v>C055</x:v>
      </x:c>
      <x:c r="D36" s="1" t="str">
        <x:v>Comercial El Progreso</x:v>
      </x:c>
      <x:c r="E36" s="1" t="str">
        <x:v>Esparta</x:v>
      </x:c>
      <x:c r="F36" s="7" t="n">
        <x:v>15.64577975766732</x:v>
      </x:c>
      <x:c r="G36" s="7" t="n">
        <x:v>-87.27356817326502</x:v>
      </x:c>
      <x:c r="H36" s="1" t="str">
        <x:v>R007</x:v>
      </x:c>
      <x:c r="I36" s="1" t="str">
        <x:v>María Hernández</x:v>
      </x:c>
      <x:c r="J36" s="1" t="str">
        <x:v>V007</x:v>
      </x:c>
      <x:c r="K36" s="1" t="str">
        <x:v>Pickup con carrocería</x:v>
      </x:c>
      <x:c r="L36" s="1" t="str">
        <x:v>RT-20260507-R007</x:v>
      </x:c>
      <x:c r="M36" s="1" t="str">
        <x:v>08:08</x:v>
      </x:c>
      <x:c r="N36" s="1" t="str">
        <x:v>08:18</x:v>
      </x:c>
      <x:c r="O36" s="1" t="n">
        <x:v>10</x:v>
      </x:c>
      <x:c r="P36" s="5" t="n">
        <x:f>ROUND(X36+Y36,2)</x:f>
        <x:v>153.8</x:v>
      </x:c>
      <x:c r="Q36" s="5" t="n">
        <x:f>ROUND(P36/Vehiculos!$E$8*Vehiculos!$F$8,2)</x:f>
        <x:v>586.37</x:v>
      </x:c>
      <x:c r="R36" s="1" t="str">
        <x:v>Entregado</x:v>
      </x:c>
      <x:c r="S36" s="1" t="str">
        <x:v>Media</x:v>
      </x:c>
      <x:c r="T36" s="1" t="n">
        <x:v>1</x:v>
      </x:c>
      <x:c r="U36" s="1" t="n">
        <x:v>1</x:v>
      </x:c>
      <x:c r="V36" s="5" t="n">
        <x:v>4433.28</x:v>
      </x:c>
      <x:c r="W36" s="1" t="str">
        <x:v>08:50</x:v>
      </x:c>
      <x:c r="X36" s="1" t="n">
        <x:v>2.8</x:v>
      </x:c>
      <x:c r="Y36" s="1" t="n">
        <x:f>Parametros_Operacion!$B$4*2</x:f>
        <x:v>151</x:v>
      </x:c>
    </x:row>
    <x:row r="37">
      <x:c r="A37" s="1" t="str">
        <x:v>P0017</x:v>
      </x:c>
      <x:c r="B37" s="6" t="n">
        <x:v>46150.28055555555</x:v>
      </x:c>
      <x:c r="C37" s="1" t="str">
        <x:v>C053</x:v>
      </x:c>
      <x:c r="D37" s="1" t="str">
        <x:v>Mercadito Doña Marta</x:v>
      </x:c>
      <x:c r="E37" s="1" t="str">
        <x:v>La Ceiba</x:v>
      </x:c>
      <x:c r="F37" s="7" t="n">
        <x:v>15.74017612525048</x:v>
      </x:c>
      <x:c r="G37" s="7" t="n">
        <x:v>-86.8181117726974</x:v>
      </x:c>
      <x:c r="H37" s="1" t="str">
        <x:v>R001</x:v>
      </x:c>
      <x:c r="I37" s="1" t="str">
        <x:v>Carlos Mejía</x:v>
      </x:c>
      <x:c r="J37" s="1" t="str">
        <x:v>V001</x:v>
      </x:c>
      <x:c r="K37" s="1" t="str">
        <x:v>Pickup con carrocería</x:v>
      </x:c>
      <x:c r="L37" s="1" t="str">
        <x:v>RT-20260508-R001</x:v>
      </x:c>
      <x:c r="M37" s="1" t="str">
        <x:v>06:30</x:v>
      </x:c>
      <x:c r="N37" s="1" t="str">
        <x:v>06:44</x:v>
      </x:c>
      <x:c r="O37" s="1" t="n">
        <x:v>14</x:v>
      </x:c>
      <x:c r="P37" s="5" t="n">
        <x:f>ROUND(X37+Y37,2)</x:f>
        <x:v>9.32</x:v>
      </x:c>
      <x:c r="Q37" s="5" t="n">
        <x:f>ROUND(P37/Vehiculos!$E$2*Vehiculos!$F$2,2)</x:f>
        <x:v>32.3</x:v>
      </x:c>
      <x:c r="R37" s="1" t="str">
        <x:v>Entregado</x:v>
      </x:c>
      <x:c r="S37" s="1" t="str">
        <x:v>Baja</x:v>
      </x:c>
      <x:c r="T37" s="1" t="n">
        <x:v>1</x:v>
      </x:c>
      <x:c r="U37" s="1" t="n">
        <x:v>1</x:v>
      </x:c>
      <x:c r="V37" s="5" t="n">
        <x:v>2441.7</x:v>
      </x:c>
      <x:c r="W37" s="1" t="str">
        <x:v>09:30</x:v>
      </x:c>
      <x:c r="X37" s="1" t="n">
        <x:v>9.32</x:v>
      </x:c>
      <x:c r="Y37" s="1" t="n">
        <x:f>Parametros_Operacion!$B$6*0</x:f>
        <x:v>0</x:v>
      </x:c>
    </x:row>
    <x:row r="38">
      <x:c r="A38" s="1" t="str">
        <x:v>P0055</x:v>
      </x:c>
      <x:c r="B38" s="6" t="n">
        <x:v>46150.29583333333</x:v>
      </x:c>
      <x:c r="C38" s="1" t="str">
        <x:v>C036</x:v>
      </x:c>
      <x:c r="D38" s="1" t="str">
        <x:v>Pulpería Los Amigos</x:v>
      </x:c>
      <x:c r="E38" s="1" t="str">
        <x:v>El Porvenir</x:v>
      </x:c>
      <x:c r="F38" s="7" t="n">
        <x:v>15.73514406884404</x:v>
      </x:c>
      <x:c r="G38" s="7" t="n">
        <x:v>-86.860694251453</x:v>
      </x:c>
      <x:c r="H38" s="1" t="str">
        <x:v>R008</x:v>
      </x:c>
      <x:c r="I38" s="1" t="str">
        <x:v>Jorge Castro</x:v>
      </x:c>
      <x:c r="J38" s="1" t="str">
        <x:v>V008</x:v>
      </x:c>
      <x:c r="K38" s="1" t="str">
        <x:v>Camión pequeño</x:v>
      </x:c>
      <x:c r="L38" s="1" t="str">
        <x:v>RT-20260508-R008</x:v>
      </x:c>
      <x:c r="M38" s="1" t="str">
        <x:v>06:54</x:v>
      </x:c>
      <x:c r="N38" s="1" t="str">
        <x:v>07:06</x:v>
      </x:c>
      <x:c r="O38" s="1" t="n">
        <x:v>12</x:v>
      </x:c>
      <x:c r="P38" s="5" t="n">
        <x:f>ROUND(X38+Y38,2)</x:f>
        <x:v>38.32</x:v>
      </x:c>
      <x:c r="Q38" s="5" t="n">
        <x:f>ROUND(P38/Vehiculos!$E$9*Vehiculos!$F$9,2)</x:f>
        <x:v>194.79</x:v>
      </x:c>
      <x:c r="R38" s="1" t="str">
        <x:v>Entregado</x:v>
      </x:c>
      <x:c r="S38" s="1" t="str">
        <x:v>Alta</x:v>
      </x:c>
      <x:c r="T38" s="1" t="n">
        <x:v>1</x:v>
      </x:c>
      <x:c r="U38" s="1" t="n">
        <x:v>1</x:v>
      </x:c>
      <x:c r="V38" s="5" t="n">
        <x:v>2757.08</x:v>
      </x:c>
      <x:c r="W38" s="1" t="str">
        <x:v>08:20</x:v>
      </x:c>
      <x:c r="X38" s="1" t="n">
        <x:v>5.32</x:v>
      </x:c>
      <x:c r="Y38" s="1" t="n">
        <x:f>Parametros_Operacion!$B$3*2</x:f>
        <x:v>33</x:v>
      </x:c>
    </x:row>
    <x:row r="39">
      <x:c r="A39" s="1" t="str">
        <x:v>P0016</x:v>
      </x:c>
      <x:c r="B39" s="6" t="n">
        <x:v>46150.31527777778</x:v>
      </x:c>
      <x:c r="C39" s="1" t="str">
        <x:v>C011</x:v>
      </x:c>
      <x:c r="D39" s="1" t="str">
        <x:v>Pulpería La Esperanza</x:v>
      </x:c>
      <x:c r="E39" s="1" t="str">
        <x:v>La Masica</x:v>
      </x:c>
      <x:c r="F39" s="7" t="n">
        <x:v>15.60742232487711</x:v>
      </x:c>
      <x:c r="G39" s="7" t="n">
        <x:v>-86.68161189171478</x:v>
      </x:c>
      <x:c r="H39" s="1" t="str">
        <x:v>R004</x:v>
      </x:c>
      <x:c r="I39" s="1" t="str">
        <x:v>Daniela Cruz</x:v>
      </x:c>
      <x:c r="J39" s="1" t="str">
        <x:v>V004</x:v>
      </x:c>
      <x:c r="K39" s="1" t="str">
        <x:v>Pickup con carrocería</x:v>
      </x:c>
      <x:c r="L39" s="1" t="str">
        <x:v>RT-20260508-R004</x:v>
      </x:c>
      <x:c r="M39" s="1" t="str">
        <x:v>07:20</x:v>
      </x:c>
      <x:c r="N39" s="1" t="str">
        <x:v>07:34</x:v>
      </x:c>
      <x:c r="O39" s="1" t="n">
        <x:v>14</x:v>
      </x:c>
      <x:c r="P39" s="5" t="n">
        <x:f>ROUND(X39+Y39,2)</x:f>
        <x:v>45.7</x:v>
      </x:c>
      <x:c r="Q39" s="5" t="n">
        <x:f>ROUND(P39/Vehiculos!$E$5*Vehiculos!$F$5,2)</x:f>
        <x:v>165.94</x:v>
      </x:c>
      <x:c r="R39" s="1" t="str">
        <x:v>Entregado</x:v>
      </x:c>
      <x:c r="S39" s="1" t="str">
        <x:v>Baja</x:v>
      </x:c>
      <x:c r="T39" s="1" t="n">
        <x:v>1</x:v>
      </x:c>
      <x:c r="U39" s="1" t="n">
        <x:v>1</x:v>
      </x:c>
      <x:c r="V39" s="5" t="n">
        <x:v>2389.16</x:v>
      </x:c>
      <x:c r="W39" s="1" t="str">
        <x:v>09:30</x:v>
      </x:c>
      <x:c r="X39" s="1" t="n">
        <x:v>4.5</x:v>
      </x:c>
      <x:c r="Y39" s="1" t="n">
        <x:f>Parametros_Operacion!$B$7*1</x:f>
        <x:v>41.2</x:v>
      </x:c>
    </x:row>
    <x:row r="40">
      <x:c r="A40" s="1" t="str">
        <x:v>P0019</x:v>
      </x:c>
      <x:c r="B40" s="6" t="n">
        <x:v>46150.32708333333</x:v>
      </x:c>
      <x:c r="C40" s="1" t="str">
        <x:v>C012</x:v>
      </x:c>
      <x:c r="D40" s="1" t="str">
        <x:v>Mini Súper Atlántida</x:v>
      </x:c>
      <x:c r="E40" s="1" t="str">
        <x:v>La Masica</x:v>
      </x:c>
      <x:c r="F40" s="7" t="n">
        <x:v>15.61789367249307</x:v>
      </x:c>
      <x:c r="G40" s="7" t="n">
        <x:v>-86.73642461377005</x:v>
      </x:c>
      <x:c r="H40" s="1" t="str">
        <x:v>R004</x:v>
      </x:c>
      <x:c r="I40" s="1" t="str">
        <x:v>Daniela Cruz</x:v>
      </x:c>
      <x:c r="J40" s="1" t="str">
        <x:v>V004</x:v>
      </x:c>
      <x:c r="K40" s="1" t="str">
        <x:v>Pickup con carrocería</x:v>
      </x:c>
      <x:c r="L40" s="1" t="str">
        <x:v>RT-20260508-R004</x:v>
      </x:c>
      <x:c r="M40" s="1" t="str">
        <x:v>07:34</x:v>
      </x:c>
      <x:c r="N40" s="1" t="str">
        <x:v>07:51</x:v>
      </x:c>
      <x:c r="O40" s="1" t="n">
        <x:v>17</x:v>
      </x:c>
      <x:c r="P40" s="5" t="n">
        <x:f>ROUND(X40+Y40,2)</x:f>
        <x:v>52.47</x:v>
      </x:c>
      <x:c r="Q40" s="5" t="n">
        <x:f>ROUND(P40/Vehiculos!$E$5*Vehiculos!$F$5,2)</x:f>
        <x:v>190.52</x:v>
      </x:c>
      <x:c r="R40" s="1" t="str">
        <x:v>Entregado</x:v>
      </x:c>
      <x:c r="S40" s="1" t="str">
        <x:v>Media</x:v>
      </x:c>
      <x:c r="T40" s="1" t="n">
        <x:v>2</x:v>
      </x:c>
      <x:c r="U40" s="1" t="n">
        <x:v>2</x:v>
      </x:c>
      <x:c r="V40" s="5" t="n">
        <x:v>3620.21</x:v>
      </x:c>
      <x:c r="W40" s="1" t="str">
        <x:v>08:50</x:v>
      </x:c>
      <x:c r="X40" s="1" t="n">
        <x:v>11.27</x:v>
      </x:c>
      <x:c r="Y40" s="1" t="n">
        <x:f>Parametros_Operacion!$B$7*1</x:f>
        <x:v>41.2</x:v>
      </x:c>
    </x:row>
    <x:row r="41">
      <x:c r="A41" s="1" t="str">
        <x:v>P0047</x:v>
      </x:c>
      <x:c r="B41" s="6" t="n">
        <x:v>46150.34583333333</x:v>
      </x:c>
      <x:c r="C41" s="1" t="str">
        <x:v>C028</x:v>
      </x:c>
      <x:c r="D41" s="1" t="str">
        <x:v>Pulpería El Buen Vecino</x:v>
      </x:c>
      <x:c r="E41" s="1" t="str">
        <x:v>Esparta</x:v>
      </x:c>
      <x:c r="F41" s="7" t="n">
        <x:v>15.64639811449093</x:v>
      </x:c>
      <x:c r="G41" s="7" t="n">
        <x:v>-87.26933914683686</x:v>
      </x:c>
      <x:c r="H41" s="1" t="str">
        <x:v>R007</x:v>
      </x:c>
      <x:c r="I41" s="1" t="str">
        <x:v>María Hernández</x:v>
      </x:c>
      <x:c r="J41" s="1" t="str">
        <x:v>V007</x:v>
      </x:c>
      <x:c r="K41" s="1" t="str">
        <x:v>Pickup con carrocería</x:v>
      </x:c>
      <x:c r="L41" s="1" t="str">
        <x:v>RT-20260508-R007</x:v>
      </x:c>
      <x:c r="M41" s="1" t="str">
        <x:v>08:08</x:v>
      </x:c>
      <x:c r="N41" s="1" t="str">
        <x:v>08:18</x:v>
      </x:c>
      <x:c r="O41" s="1" t="n">
        <x:v>10</x:v>
      </x:c>
      <x:c r="P41" s="5" t="n">
        <x:f>ROUND(X41+Y41,2)</x:f>
        <x:v>76.65</x:v>
      </x:c>
      <x:c r="Q41" s="5" t="n">
        <x:f>ROUND(P41/Vehiculos!$E$8*Vehiculos!$F$8,2)</x:f>
        <x:v>292.23</x:v>
      </x:c>
      <x:c r="R41" s="1" t="str">
        <x:v>Entregado</x:v>
      </x:c>
      <x:c r="S41" s="1" t="str">
        <x:v>Media</x:v>
      </x:c>
      <x:c r="T41" s="1" t="n">
        <x:v>1</x:v>
      </x:c>
      <x:c r="U41" s="1" t="n">
        <x:v>1</x:v>
      </x:c>
      <x:c r="V41" s="5" t="n">
        <x:v>2085.95</x:v>
      </x:c>
      <x:c r="W41" s="1" t="str">
        <x:v>08:50</x:v>
      </x:c>
      <x:c r="X41" s="1" t="n">
        <x:v>1.15</x:v>
      </x:c>
      <x:c r="Y41" s="1" t="n">
        <x:f>Parametros_Operacion!$B$4*1</x:f>
        <x:v>75.5</x:v>
      </x:c>
    </x:row>
    <x:row r="42">
      <x:c r="A42" s="1" t="str">
        <x:v>P0084</x:v>
      </x:c>
      <x:c r="B42" s="6" t="n">
        <x:v>46150.35138888889</x:v>
      </x:c>
      <x:c r="C42" s="1" t="str">
        <x:v>C028</x:v>
      </x:c>
      <x:c r="D42" s="1" t="str">
        <x:v>Pulpería El Buen Vecino</x:v>
      </x:c>
      <x:c r="E42" s="1" t="str">
        <x:v>Esparta</x:v>
      </x:c>
      <x:c r="F42" s="7" t="n">
        <x:v>15.64639811449093</x:v>
      </x:c>
      <x:c r="G42" s="7" t="n">
        <x:v>-87.26933914683686</x:v>
      </x:c>
      <x:c r="H42" s="1" t="str">
        <x:v>R007</x:v>
      </x:c>
      <x:c r="I42" s="1" t="str">
        <x:v>María Hernández</x:v>
      </x:c>
      <x:c r="J42" s="1" t="str">
        <x:v>V007</x:v>
      </x:c>
      <x:c r="K42" s="1" t="str">
        <x:v>Pickup con carrocería</x:v>
      </x:c>
      <x:c r="L42" s="1" t="str">
        <x:v>RT-20260508-R007</x:v>
      </x:c>
      <x:c r="M42" s="1" t="str">
        <x:v>08:18</x:v>
      </x:c>
      <x:c r="N42" s="1" t="str">
        <x:v>08:26</x:v>
      </x:c>
      <x:c r="O42" s="1" t="n">
        <x:v>8</x:v>
      </x:c>
      <x:c r="P42" s="5" t="n">
        <x:f>ROUND(X42+Y42,2)</x:f>
        <x:v>0</x:v>
      </x:c>
      <x:c r="Q42" s="5" t="n">
        <x:f>ROUND(P42/Vehiculos!$E$8*Vehiculos!$F$8,2)</x:f>
        <x:v>0</x:v>
      </x:c>
      <x:c r="R42" s="1" t="str">
        <x:v>Retrasado</x:v>
      </x:c>
      <x:c r="S42" s="1" t="str">
        <x:v>Alta</x:v>
      </x:c>
      <x:c r="T42" s="1" t="n">
        <x:v>2</x:v>
      </x:c>
      <x:c r="U42" s="1" t="n">
        <x:v>2</x:v>
      </x:c>
      <x:c r="V42" s="5" t="n">
        <x:v>3237.62</x:v>
      </x:c>
      <x:c r="W42" s="1" t="str">
        <x:v>08:20</x:v>
      </x:c>
      <x:c r="X42" s="1" t="n">
        <x:v>0</x:v>
      </x:c>
      <x:c r="Y42" s="1" t="n">
        <x:f>Parametros_Operacion!$B$4*0</x:f>
        <x:v>0</x:v>
      </x:c>
    </x:row>
    <x:row r="43">
      <x:c r="A43" s="1" t="str">
        <x:v>P0082</x:v>
      </x:c>
      <x:c r="B43" s="6" t="n">
        <x:v>46150.35902777778</x:v>
      </x:c>
      <x:c r="C43" s="1" t="str">
        <x:v>C032</x:v>
      </x:c>
      <x:c r="D43" s="1" t="str">
        <x:v>Mini Súper Atlántida</x:v>
      </x:c>
      <x:c r="E43" s="1" t="str">
        <x:v>Esparta</x:v>
      </x:c>
      <x:c r="F43" s="7" t="n">
        <x:v>15.6324518057495</x:v>
      </x:c>
      <x:c r="G43" s="7" t="n">
        <x:v>-87.2624583084211</x:v>
      </x:c>
      <x:c r="H43" s="1" t="str">
        <x:v>R007</x:v>
      </x:c>
      <x:c r="I43" s="1" t="str">
        <x:v>María Hernández</x:v>
      </x:c>
      <x:c r="J43" s="1" t="str">
        <x:v>V007</x:v>
      </x:c>
      <x:c r="K43" s="1" t="str">
        <x:v>Pickup con carrocería</x:v>
      </x:c>
      <x:c r="L43" s="1" t="str">
        <x:v>RT-20260508-R007</x:v>
      </x:c>
      <x:c r="M43" s="1" t="str">
        <x:v>08:26</x:v>
      </x:c>
      <x:c r="N43" s="1" t="str">
        <x:v>08:37</x:v>
      </x:c>
      <x:c r="O43" s="1" t="n">
        <x:v>11</x:v>
      </x:c>
      <x:c r="P43" s="5" t="n">
        <x:f>ROUND(X43+Y43,2)</x:f>
        <x:v>2.15</x:v>
      </x:c>
      <x:c r="Q43" s="5" t="n">
        <x:f>ROUND(P43/Vehiculos!$E$8*Vehiculos!$F$8,2)</x:f>
        <x:v>8.2</x:v>
      </x:c>
      <x:c r="R43" s="1" t="str">
        <x:v>Entregado</x:v>
      </x:c>
      <x:c r="S43" s="1" t="str">
        <x:v>Media</x:v>
      </x:c>
      <x:c r="T43" s="1" t="n">
        <x:v>3</x:v>
      </x:c>
      <x:c r="U43" s="1" t="n">
        <x:v>3</x:v>
      </x:c>
      <x:c r="V43" s="5" t="n">
        <x:v>3920.93</x:v>
      </x:c>
      <x:c r="W43" s="1" t="str">
        <x:v>08:50</x:v>
      </x:c>
      <x:c r="X43" s="1" t="n">
        <x:v>2.15</x:v>
      </x:c>
      <x:c r="Y43" s="1" t="n">
        <x:f>Parametros_Operacion!$B$4*0</x:f>
        <x:v>0</x:v>
      </x:c>
    </x:row>
    <x:row r="44">
      <x:c r="A44" s="1" t="str">
        <x:v>P0079</x:v>
      </x:c>
      <x:c r="B44" s="6" t="n">
        <x:v>46150.364583333336</x:v>
      </x:c>
      <x:c r="C44" s="1" t="str">
        <x:v>C032</x:v>
      </x:c>
      <x:c r="D44" s="1" t="str">
        <x:v>Mini Súper Atlántida</x:v>
      </x:c>
      <x:c r="E44" s="1" t="str">
        <x:v>Esparta</x:v>
      </x:c>
      <x:c r="F44" s="7" t="n">
        <x:v>15.6324518057495</x:v>
      </x:c>
      <x:c r="G44" s="7" t="n">
        <x:v>-87.2624583084211</x:v>
      </x:c>
      <x:c r="H44" s="1" t="str">
        <x:v>R007</x:v>
      </x:c>
      <x:c r="I44" s="1" t="str">
        <x:v>María Hernández</x:v>
      </x:c>
      <x:c r="J44" s="1" t="str">
        <x:v>V007</x:v>
      </x:c>
      <x:c r="K44" s="1" t="str">
        <x:v>Pickup con carrocería</x:v>
      </x:c>
      <x:c r="L44" s="1" t="str">
        <x:v>RT-20260508-R007</x:v>
      </x:c>
      <x:c r="M44" s="1" t="str">
        <x:v>08:37</x:v>
      </x:c>
      <x:c r="N44" s="1" t="str">
        <x:v>08:45</x:v>
      </x:c>
      <x:c r="O44" s="1" t="n">
        <x:v>8</x:v>
      </x:c>
      <x:c r="P44" s="5" t="n">
        <x:f>ROUND(X44+Y44,2)</x:f>
        <x:v>78.68</x:v>
      </x:c>
      <x:c r="Q44" s="5" t="n">
        <x:f>ROUND(P44/Vehiculos!$E$8*Vehiculos!$F$8,2)</x:f>
        <x:v>299.97</x:v>
      </x:c>
      <x:c r="R44" s="1" t="str">
        <x:v>Entregado</x:v>
      </x:c>
      <x:c r="S44" s="1" t="str">
        <x:v>Baja</x:v>
      </x:c>
      <x:c r="T44" s="1" t="n">
        <x:v>4</x:v>
      </x:c>
      <x:c r="U44" s="1" t="n">
        <x:v>4</x:v>
      </x:c>
      <x:c r="V44" s="5" t="n">
        <x:v>4693.04</x:v>
      </x:c>
      <x:c r="W44" s="1" t="str">
        <x:v>09:30</x:v>
      </x:c>
      <x:c r="X44" s="1" t="n">
        <x:v>3.18</x:v>
      </x:c>
      <x:c r="Y44" s="1" t="n">
        <x:f>Parametros_Operacion!$B$4*1</x:f>
        <x:v>75.5</x:v>
      </x:c>
    </x:row>
    <x:row r="45">
      <x:c r="A45" s="1" t="str">
        <x:v>P0080</x:v>
      </x:c>
      <x:c r="B45" s="6" t="n">
        <x:v>46150.36736111111</x:v>
      </x:c>
      <x:c r="C45" s="1" t="str">
        <x:v>C059</x:v>
      </x:c>
      <x:c r="D45" s="1" t="str">
        <x:v>Pulpería El Centroamericano</x:v>
      </x:c>
      <x:c r="E45" s="1" t="str">
        <x:v>Tela</x:v>
      </x:c>
      <x:c r="F45" s="7" t="n">
        <x:v>15.78985251396864</x:v>
      </x:c>
      <x:c r="G45" s="7" t="n">
        <x:v>-87.46255549737951</x:v>
      </x:c>
      <x:c r="H45" s="1" t="str">
        <x:v>R002</x:v>
      </x:c>
      <x:c r="I45" s="1" t="str">
        <x:v>Ana López</x:v>
      </x:c>
      <x:c r="J45" s="1" t="str">
        <x:v>V002</x:v>
      </x:c>
      <x:c r="K45" s="1" t="str">
        <x:v>Pickup con carrocería</x:v>
      </x:c>
      <x:c r="L45" s="1" t="str">
        <x:v>RT-20260508-R002</x:v>
      </x:c>
      <x:c r="M45" s="1" t="str">
        <x:v>08:38</x:v>
      </x:c>
      <x:c r="N45" s="1" t="str">
        <x:v>08:49</x:v>
      </x:c>
      <x:c r="O45" s="1" t="n">
        <x:v>11</x:v>
      </x:c>
      <x:c r="P45" s="5" t="n">
        <x:f>ROUND(X45+Y45,2)</x:f>
        <x:v>208.62</x:v>
      </x:c>
      <x:c r="Q45" s="5" t="n">
        <x:f>ROUND(P45/Vehiculos!$E$3*Vehiculos!$F$3,2)</x:f>
        <x:v>757.5</x:v>
      </x:c>
      <x:c r="R45" s="1" t="str">
        <x:v>Entregado</x:v>
      </x:c>
      <x:c r="S45" s="1" t="str">
        <x:v>Media</x:v>
      </x:c>
      <x:c r="T45" s="1" t="n">
        <x:v>1</x:v>
      </x:c>
      <x:c r="U45" s="1" t="n">
        <x:v>1</x:v>
      </x:c>
      <x:c r="V45" s="5" t="n">
        <x:v>2198.25</x:v>
      </x:c>
      <x:c r="W45" s="1" t="str">
        <x:v>08:50</x:v>
      </x:c>
      <x:c r="X45" s="1" t="n">
        <x:v>4.02</x:v>
      </x:c>
      <x:c r="Y45" s="1" t="n">
        <x:f>Parametros_Operacion!$B$9*2</x:f>
        <x:v>204.6</x:v>
      </x:c>
    </x:row>
    <x:row r="46">
      <x:c r="A46" s="1" t="str">
        <x:v>P0041</x:v>
      </x:c>
      <x:c r="B46" s="6" t="n">
        <x:v>46151.28055555555</x:v>
      </x:c>
      <x:c r="C46" s="1" t="str">
        <x:v>C043</x:v>
      </x:c>
      <x:c r="D46" s="1" t="str">
        <x:v>Supermercado Rafael</x:v>
      </x:c>
      <x:c r="E46" s="1" t="str">
        <x:v>La Ceiba</x:v>
      </x:c>
      <x:c r="F46" s="7" t="n">
        <x:v>15.74117500406553</x:v>
      </x:c>
      <x:c r="G46" s="7" t="n">
        <x:v>-86.76923431354687</x:v>
      </x:c>
      <x:c r="H46" s="1" t="str">
        <x:v>R001</x:v>
      </x:c>
      <x:c r="I46" s="1" t="str">
        <x:v>Carlos Mejía</x:v>
      </x:c>
      <x:c r="J46" s="1" t="str">
        <x:v>V001</x:v>
      </x:c>
      <x:c r="K46" s="1" t="str">
        <x:v>Pickup con carrocería</x:v>
      </x:c>
      <x:c r="L46" s="1" t="str">
        <x:v>RT-20260509-R001</x:v>
      </x:c>
      <x:c r="M46" s="1" t="str">
        <x:v>06:30</x:v>
      </x:c>
      <x:c r="N46" s="1" t="str">
        <x:v>06:44</x:v>
      </x:c>
      <x:c r="O46" s="1" t="n">
        <x:v>14</x:v>
      </x:c>
      <x:c r="P46" s="5" t="n">
        <x:f>ROUND(X46+Y46,2)</x:f>
        <x:v>5.17</x:v>
      </x:c>
      <x:c r="Q46" s="5" t="n">
        <x:f>ROUND(P46/Vehiculos!$E$2*Vehiculos!$F$2,2)</x:f>
        <x:v>17.92</x:v>
      </x:c>
      <x:c r="R46" s="1" t="str">
        <x:v>Entregado</x:v>
      </x:c>
      <x:c r="S46" s="1" t="str">
        <x:v>Alta</x:v>
      </x:c>
      <x:c r="T46" s="1" t="n">
        <x:v>1</x:v>
      </x:c>
      <x:c r="U46" s="1" t="n">
        <x:v>1</x:v>
      </x:c>
      <x:c r="V46" s="5" t="n">
        <x:v>6551</x:v>
      </x:c>
      <x:c r="W46" s="1" t="str">
        <x:v>08:20</x:v>
      </x:c>
      <x:c r="X46" s="1" t="n">
        <x:v>5.17</x:v>
      </x:c>
      <x:c r="Y46" s="1" t="n">
        <x:f>Parametros_Operacion!$B$6*0</x:f>
        <x:v>0</x:v>
      </x:c>
    </x:row>
    <x:row r="47">
      <x:c r="A47" s="1" t="str">
        <x:v>P0099</x:v>
      </x:c>
      <x:c r="B47" s="6" t="n">
        <x:v>46151.28958333333</x:v>
      </x:c>
      <x:c r="C47" s="1" t="str">
        <x:v>C027</x:v>
      </x:c>
      <x:c r="D47" s="1" t="str">
        <x:v>Distribuidora El Faro</x:v>
      </x:c>
      <x:c r="E47" s="1" t="str">
        <x:v>La Ceiba</x:v>
      </x:c>
      <x:c r="F47" s="7" t="n">
        <x:v>15.76803685728729</x:v>
      </x:c>
      <x:c r="G47" s="7" t="n">
        <x:v>-86.77768801221002</x:v>
      </x:c>
      <x:c r="H47" s="1" t="str">
        <x:v>R001</x:v>
      </x:c>
      <x:c r="I47" s="1" t="str">
        <x:v>Carlos Mejía</x:v>
      </x:c>
      <x:c r="J47" s="1" t="str">
        <x:v>V001</x:v>
      </x:c>
      <x:c r="K47" s="1" t="str">
        <x:v>Pickup con carrocería</x:v>
      </x:c>
      <x:c r="L47" s="1" t="str">
        <x:v>RT-20260509-R001</x:v>
      </x:c>
      <x:c r="M47" s="1" t="str">
        <x:v>06:44</x:v>
      </x:c>
      <x:c r="N47" s="1" t="str">
        <x:v>06:57</x:v>
      </x:c>
      <x:c r="O47" s="1" t="n">
        <x:v>13</x:v>
      </x:c>
      <x:c r="P47" s="5" t="n">
        <x:f>ROUND(X47+Y47,2)</x:f>
        <x:v>6.5</x:v>
      </x:c>
      <x:c r="Q47" s="5" t="n">
        <x:f>ROUND(P47/Vehiculos!$E$2*Vehiculos!$F$2,2)</x:f>
        <x:v>22.53</x:v>
      </x:c>
      <x:c r="R47" s="1" t="str">
        <x:v>Entregado</x:v>
      </x:c>
      <x:c r="S47" s="1" t="str">
        <x:v>Baja</x:v>
      </x:c>
      <x:c r="T47" s="1" t="n">
        <x:v>2</x:v>
      </x:c>
      <x:c r="U47" s="1" t="n">
        <x:v>2</x:v>
      </x:c>
      <x:c r="V47" s="5" t="n">
        <x:v>6065.54</x:v>
      </x:c>
      <x:c r="W47" s="1" t="str">
        <x:v>09:30</x:v>
      </x:c>
      <x:c r="X47" s="1" t="n">
        <x:v>6.5</x:v>
      </x:c>
      <x:c r="Y47" s="1" t="n">
        <x:f>Parametros_Operacion!$B$6*0</x:f>
        <x:v>0</x:v>
      </x:c>
    </x:row>
    <x:row r="48">
      <x:c r="A48" s="1" t="str">
        <x:v>P0029</x:v>
      </x:c>
      <x:c r="B48" s="6" t="n">
        <x:v>46151.30486111111</x:v>
      </x:c>
      <x:c r="C48" s="1" t="str">
        <x:v>C030</x:v>
      </x:c>
      <x:c r="D48" s="1" t="str">
        <x:v>Comercial La Costa</x:v>
      </x:c>
      <x:c r="E48" s="1" t="str">
        <x:v>Jutiapa</x:v>
      </x:c>
      <x:c r="F48" s="7" t="n">
        <x:v>15.659792178279</x:v>
      </x:c>
      <x:c r="G48" s="7" t="n">
        <x:v>-86.2292721817938</x:v>
      </x:c>
      <x:c r="H48" s="1" t="str">
        <x:v>R003</x:v>
      </x:c>
      <x:c r="I48" s="1" t="str">
        <x:v>Luis Ramírez</x:v>
      </x:c>
      <x:c r="J48" s="1" t="str">
        <x:v>V003</x:v>
      </x:c>
      <x:c r="K48" s="1" t="str">
        <x:v>Pickup con carrocería</x:v>
      </x:c>
      <x:c r="L48" s="1" t="str">
        <x:v>RT-20260509-R003</x:v>
      </x:c>
      <x:c r="M48" s="1" t="str">
        <x:v>07:10</x:v>
      </x:c>
      <x:c r="N48" s="1" t="str">
        <x:v>07:19</x:v>
      </x:c>
      <x:c r="O48" s="1" t="n">
        <x:v>9</x:v>
      </x:c>
      <x:c r="P48" s="5" t="n">
        <x:f>ROUND(X48+Y48,2)</x:f>
        <x:v>32.21</x:v>
      </x:c>
      <x:c r="Q48" s="5" t="n">
        <x:f>ROUND(P48/Vehiculos!$E$4*Vehiculos!$F$4,2)</x:f>
        <x:v>122.8</x:v>
      </x:c>
      <x:c r="R48" s="1" t="str">
        <x:v>Entregado</x:v>
      </x:c>
      <x:c r="S48" s="1" t="str">
        <x:v>Baja</x:v>
      </x:c>
      <x:c r="T48" s="1" t="n">
        <x:v>1</x:v>
      </x:c>
      <x:c r="U48" s="1" t="n">
        <x:v>1</x:v>
      </x:c>
      <x:c r="V48" s="5" t="n">
        <x:v>1448.9</x:v>
      </x:c>
      <x:c r="W48" s="1" t="str">
        <x:v>09:30</x:v>
      </x:c>
      <x:c r="X48" s="1" t="n">
        <x:v>0.81</x:v>
      </x:c>
      <x:c r="Y48" s="1" t="n">
        <x:f>Parametros_Operacion!$B$5*1</x:f>
        <x:v>31.4</x:v>
      </x:c>
    </x:row>
    <x:row r="49">
      <x:c r="A49" s="1" t="str">
        <x:v>P0067</x:v>
      </x:c>
      <x:c r="B49" s="6" t="n">
        <x:v>46151.3125</x:v>
      </x:c>
      <x:c r="C49" s="1" t="str">
        <x:v>C042</x:v>
      </x:c>
      <x:c r="D49" s="1" t="str">
        <x:v>Mini Súper La Bendición</x:v>
      </x:c>
      <x:c r="E49" s="1" t="str">
        <x:v>San Francisco</x:v>
      </x:c>
      <x:c r="F49" s="7" t="n">
        <x:v>15.64942224496931</x:v>
      </x:c>
      <x:c r="G49" s="7" t="n">
        <x:v>-86.98247971654797</x:v>
      </x:c>
      <x:c r="H49" s="1" t="str">
        <x:v>R005</x:v>
      </x:c>
      <x:c r="I49" s="1" t="str">
        <x:v>José Martínez</x:v>
      </x:c>
      <x:c r="J49" s="1" t="str">
        <x:v>V005</x:v>
      </x:c>
      <x:c r="K49" s="1" t="str">
        <x:v>Camión pequeño</x:v>
      </x:c>
      <x:c r="L49" s="1" t="str">
        <x:v>RT-20260509-R005</x:v>
      </x:c>
      <x:c r="M49" s="1" t="str">
        <x:v>07:19</x:v>
      </x:c>
      <x:c r="N49" s="1" t="str">
        <x:v>07:30</x:v>
      </x:c>
      <x:c r="O49" s="1" t="n">
        <x:v>11</x:v>
      </x:c>
      <x:c r="P49" s="5" t="n">
        <x:f>ROUND(X49+Y49,2)</x:f>
        <x:v>73.78</x:v>
      </x:c>
      <x:c r="Q49" s="5" t="n">
        <x:f>ROUND(P49/Vehiculos!$E$6*Vehiculos!$F$6,2)</x:f>
        <x:v>351.61</x:v>
      </x:c>
      <x:c r="R49" s="1" t="str">
        <x:v>Entregado</x:v>
      </x:c>
      <x:c r="S49" s="1" t="str">
        <x:v>Baja</x:v>
      </x:c>
      <x:c r="T49" s="1" t="n">
        <x:v>1</x:v>
      </x:c>
      <x:c r="U49" s="1" t="n">
        <x:v>1</x:v>
      </x:c>
      <x:c r="V49" s="5" t="n">
        <x:v>4370.46</x:v>
      </x:c>
      <x:c r="W49" s="1" t="str">
        <x:v>09:30</x:v>
      </x:c>
      <x:c r="X49" s="1" t="n">
        <x:v>3.78</x:v>
      </x:c>
      <x:c r="Y49" s="1" t="n">
        <x:f>Parametros_Operacion!$B$8*2</x:f>
        <x:v>70</x:v>
      </x:c>
    </x:row>
    <x:row r="50">
      <x:c r="A50" s="1" t="str">
        <x:v>P0060</x:v>
      </x:c>
      <x:c r="B50" s="6" t="n">
        <x:v>46151.31597222222</x:v>
      </x:c>
      <x:c r="C50" s="1" t="str">
        <x:v>C006</x:v>
      </x:c>
      <x:c r="D50" s="1" t="str">
        <x:v>Abarrotería El Centro</x:v>
      </x:c>
      <x:c r="E50" s="1" t="str">
        <x:v>Jutiapa</x:v>
      </x:c>
      <x:c r="F50" s="7" t="n">
        <x:v>15.69621823719406</x:v>
      </x:c>
      <x:c r="G50" s="7" t="n">
        <x:v>-86.1982096577805</x:v>
      </x:c>
      <x:c r="H50" s="1" t="str">
        <x:v>R003</x:v>
      </x:c>
      <x:c r="I50" s="1" t="str">
        <x:v>Luis Ramírez</x:v>
      </x:c>
      <x:c r="J50" s="1" t="str">
        <x:v>V003</x:v>
      </x:c>
      <x:c r="K50" s="1" t="str">
        <x:v>Pickup con carrocería</x:v>
      </x:c>
      <x:c r="L50" s="1" t="str">
        <x:v>RT-20260509-R003</x:v>
      </x:c>
      <x:c r="M50" s="1" t="str">
        <x:v>07:19</x:v>
      </x:c>
      <x:c r="N50" s="1" t="str">
        <x:v>07:35</x:v>
      </x:c>
      <x:c r="O50" s="1" t="n">
        <x:v>16</x:v>
      </x:c>
      <x:c r="P50" s="5" t="n">
        <x:f>ROUND(X50+Y50,2)</x:f>
        <x:v>43.82</x:v>
      </x:c>
      <x:c r="Q50" s="5" t="n">
        <x:f>ROUND(P50/Vehiculos!$E$4*Vehiculos!$F$4,2)</x:f>
        <x:v>167.07</x:v>
      </x:c>
      <x:c r="R50" s="1" t="str">
        <x:v>Entregado</x:v>
      </x:c>
      <x:c r="S50" s="1" t="str">
        <x:v>Media</x:v>
      </x:c>
      <x:c r="T50" s="1" t="n">
        <x:v>2</x:v>
      </x:c>
      <x:c r="U50" s="1" t="n">
        <x:v>2</x:v>
      </x:c>
      <x:c r="V50" s="5" t="n">
        <x:v>2438.59</x:v>
      </x:c>
      <x:c r="W50" s="1" t="str">
        <x:v>08:50</x:v>
      </x:c>
      <x:c r="X50" s="1" t="n">
        <x:v>12.42</x:v>
      </x:c>
      <x:c r="Y50" s="1" t="n">
        <x:f>Parametros_Operacion!$B$5*1</x:f>
        <x:v>31.4</x:v>
      </x:c>
    </x:row>
    <x:row r="51">
      <x:c r="A51" s="1" t="str">
        <x:v>P0063</x:v>
      </x:c>
      <x:c r="B51" s="6" t="n">
        <x:v>46151.36736111111</x:v>
      </x:c>
      <x:c r="C51" s="1" t="str">
        <x:v>C059</x:v>
      </x:c>
      <x:c r="D51" s="1" t="str">
        <x:v>Pulpería El Centroamericano</x:v>
      </x:c>
      <x:c r="E51" s="1" t="str">
        <x:v>Tela</x:v>
      </x:c>
      <x:c r="F51" s="7" t="n">
        <x:v>15.78985251396864</x:v>
      </x:c>
      <x:c r="G51" s="7" t="n">
        <x:v>-87.46255549737951</x:v>
      </x:c>
      <x:c r="H51" s="1" t="str">
        <x:v>R002</x:v>
      </x:c>
      <x:c r="I51" s="1" t="str">
        <x:v>Ana López</x:v>
      </x:c>
      <x:c r="J51" s="1" t="str">
        <x:v>V002</x:v>
      </x:c>
      <x:c r="K51" s="1" t="str">
        <x:v>Pickup con carrocería</x:v>
      </x:c>
      <x:c r="L51" s="1" t="str">
        <x:v>RT-20260509-R002</x:v>
      </x:c>
      <x:c r="M51" s="1" t="str">
        <x:v>08:38</x:v>
      </x:c>
      <x:c r="N51" s="1" t="str">
        <x:v>08:49</x:v>
      </x:c>
      <x:c r="O51" s="1" t="n">
        <x:v>11</x:v>
      </x:c>
      <x:c r="P51" s="5" t="n">
        <x:f>ROUND(X51+Y51,2)</x:f>
        <x:v>208.62</x:v>
      </x:c>
      <x:c r="Q51" s="5" t="n">
        <x:f>ROUND(P51/Vehiculos!$E$3*Vehiculos!$F$3,2)</x:f>
        <x:v>757.5</x:v>
      </x:c>
      <x:c r="R51" s="1" t="str">
        <x:v>Entregado</x:v>
      </x:c>
      <x:c r="S51" s="1" t="str">
        <x:v>Media</x:v>
      </x:c>
      <x:c r="T51" s="1" t="n">
        <x:v>1</x:v>
      </x:c>
      <x:c r="U51" s="1" t="n">
        <x:v>1</x:v>
      </x:c>
      <x:c r="V51" s="5" t="n">
        <x:v>2666.24</x:v>
      </x:c>
      <x:c r="W51" s="1" t="str">
        <x:v>08:50</x:v>
      </x:c>
      <x:c r="X51" s="1" t="n">
        <x:v>4.02</x:v>
      </x:c>
      <x:c r="Y51" s="1" t="n">
        <x:f>Parametros_Operacion!$B$9*2</x:f>
        <x:v>204.6</x:v>
      </x:c>
    </x:row>
    <x:row r="52">
      <x:c r="A52" s="1" t="str">
        <x:v>P0077</x:v>
      </x:c>
      <x:c r="B52" s="6" t="n">
        <x:v>46152.29583333333</x:v>
      </x:c>
      <x:c r="C52" s="1" t="str">
        <x:v>C036</x:v>
      </x:c>
      <x:c r="D52" s="1" t="str">
        <x:v>Pulpería Los Amigos</x:v>
      </x:c>
      <x:c r="E52" s="1" t="str">
        <x:v>El Porvenir</x:v>
      </x:c>
      <x:c r="F52" s="7" t="n">
        <x:v>15.73514406884404</x:v>
      </x:c>
      <x:c r="G52" s="7" t="n">
        <x:v>-86.860694251453</x:v>
      </x:c>
      <x:c r="H52" s="1" t="str">
        <x:v>R008</x:v>
      </x:c>
      <x:c r="I52" s="1" t="str">
        <x:v>Jorge Castro</x:v>
      </x:c>
      <x:c r="J52" s="1" t="str">
        <x:v>V008</x:v>
      </x:c>
      <x:c r="K52" s="1" t="str">
        <x:v>Camión pequeño</x:v>
      </x:c>
      <x:c r="L52" s="1" t="str">
        <x:v>RT-20260510-R008</x:v>
      </x:c>
      <x:c r="M52" s="1" t="str">
        <x:v>06:54</x:v>
      </x:c>
      <x:c r="N52" s="1" t="str">
        <x:v>07:06</x:v>
      </x:c>
      <x:c r="O52" s="1" t="n">
        <x:v>12</x:v>
      </x:c>
      <x:c r="P52" s="5" t="n">
        <x:f>ROUND(X52+Y52,2)</x:f>
        <x:v>38.32</x:v>
      </x:c>
      <x:c r="Q52" s="5" t="n">
        <x:f>ROUND(P52/Vehiculos!$E$9*Vehiculos!$F$9,2)</x:f>
        <x:v>194.79</x:v>
      </x:c>
      <x:c r="R52" s="1" t="str">
        <x:v>Entregado</x:v>
      </x:c>
      <x:c r="S52" s="1" t="str">
        <x:v>Alta</x:v>
      </x:c>
      <x:c r="T52" s="1" t="n">
        <x:v>1</x:v>
      </x:c>
      <x:c r="U52" s="1" t="n">
        <x:v>1</x:v>
      </x:c>
      <x:c r="V52" s="5" t="n">
        <x:v>5937.69</x:v>
      </x:c>
      <x:c r="W52" s="1" t="str">
        <x:v>08:20</x:v>
      </x:c>
      <x:c r="X52" s="1" t="n">
        <x:v>5.32</x:v>
      </x:c>
      <x:c r="Y52" s="1" t="n">
        <x:f>Parametros_Operacion!$B$3*2</x:f>
        <x:v>33</x:v>
      </x:c>
    </x:row>
    <x:row r="53">
      <x:c r="A53" s="1" t="str">
        <x:v>P0095</x:v>
      </x:c>
      <x:c r="B53" s="6" t="n">
        <x:v>46152.30486111111</x:v>
      </x:c>
      <x:c r="C53" s="1" t="str">
        <x:v>C030</x:v>
      </x:c>
      <x:c r="D53" s="1" t="str">
        <x:v>Comercial La Costa</x:v>
      </x:c>
      <x:c r="E53" s="1" t="str">
        <x:v>Jutiapa</x:v>
      </x:c>
      <x:c r="F53" s="7" t="n">
        <x:v>15.659792178279</x:v>
      </x:c>
      <x:c r="G53" s="7" t="n">
        <x:v>-86.2292721817938</x:v>
      </x:c>
      <x:c r="H53" s="1" t="str">
        <x:v>R003</x:v>
      </x:c>
      <x:c r="I53" s="1" t="str">
        <x:v>Luis Ramírez</x:v>
      </x:c>
      <x:c r="J53" s="1" t="str">
        <x:v>V003</x:v>
      </x:c>
      <x:c r="K53" s="1" t="str">
        <x:v>Pickup con carrocería</x:v>
      </x:c>
      <x:c r="L53" s="1" t="str">
        <x:v>RT-20260510-R003</x:v>
      </x:c>
      <x:c r="M53" s="1" t="str">
        <x:v>07:10</x:v>
      </x:c>
      <x:c r="N53" s="1" t="str">
        <x:v>07:19</x:v>
      </x:c>
      <x:c r="O53" s="1" t="n">
        <x:v>9</x:v>
      </x:c>
      <x:c r="P53" s="5" t="n">
        <x:f>ROUND(X53+Y53,2)</x:f>
        <x:v>32.21</x:v>
      </x:c>
      <x:c r="Q53" s="5" t="n">
        <x:f>ROUND(P53/Vehiculos!$E$4*Vehiculos!$F$4,2)</x:f>
        <x:v>122.8</x:v>
      </x:c>
      <x:c r="R53" s="1" t="str">
        <x:v>Entregado</x:v>
      </x:c>
      <x:c r="S53" s="1" t="str">
        <x:v>Media</x:v>
      </x:c>
      <x:c r="T53" s="1" t="n">
        <x:v>1</x:v>
      </x:c>
      <x:c r="U53" s="1" t="n">
        <x:v>1</x:v>
      </x:c>
      <x:c r="V53" s="5" t="n">
        <x:v>5845.32</x:v>
      </x:c>
      <x:c r="W53" s="1" t="str">
        <x:v>08:50</x:v>
      </x:c>
      <x:c r="X53" s="1" t="n">
        <x:v>0.81</x:v>
      </x:c>
      <x:c r="Y53" s="1" t="n">
        <x:f>Parametros_Operacion!$B$5*1</x:f>
        <x:v>31.4</x:v>
      </x:c>
    </x:row>
    <x:row r="54">
      <x:c r="A54" s="1" t="str">
        <x:v>P0110</x:v>
      </x:c>
      <x:c r="B54" s="6" t="n">
        <x:v>46152.31180555555</x:v>
      </x:c>
      <x:c r="C54" s="1" t="str">
        <x:v>C051</x:v>
      </x:c>
      <x:c r="D54" s="1" t="str">
        <x:v>Pulpería La Esperanza</x:v>
      </x:c>
      <x:c r="E54" s="1" t="str">
        <x:v>Jutiapa</x:v>
      </x:c>
      <x:c r="F54" s="7" t="n">
        <x:v>15.64757132645944</x:v>
      </x:c>
      <x:c r="G54" s="7" t="n">
        <x:v>-86.23647664495304</x:v>
      </x:c>
      <x:c r="H54" s="1" t="str">
        <x:v>R003</x:v>
      </x:c>
      <x:c r="I54" s="1" t="str">
        <x:v>Luis Ramírez</x:v>
      </x:c>
      <x:c r="J54" s="1" t="str">
        <x:v>V003</x:v>
      </x:c>
      <x:c r="K54" s="1" t="str">
        <x:v>Pickup con carrocería</x:v>
      </x:c>
      <x:c r="L54" s="1" t="str">
        <x:v>RT-20260510-R003</x:v>
      </x:c>
      <x:c r="M54" s="1" t="str">
        <x:v>07:19</x:v>
      </x:c>
      <x:c r="N54" s="1" t="str">
        <x:v>07:29</x:v>
      </x:c>
      <x:c r="O54" s="1" t="n">
        <x:v>10</x:v>
      </x:c>
      <x:c r="P54" s="5" t="n">
        <x:f>ROUND(X54+Y54,2)</x:f>
        <x:v>35.97</x:v>
      </x:c>
      <x:c r="Q54" s="5" t="n">
        <x:f>ROUND(P54/Vehiculos!$E$4*Vehiculos!$F$4,2)</x:f>
        <x:v>137.14</x:v>
      </x:c>
      <x:c r="R54" s="1" t="str">
        <x:v>Entregado</x:v>
      </x:c>
      <x:c r="S54" s="1" t="str">
        <x:v>Alta</x:v>
      </x:c>
      <x:c r="T54" s="1" t="n">
        <x:v>2</x:v>
      </x:c>
      <x:c r="U54" s="1" t="n">
        <x:v>2</x:v>
      </x:c>
      <x:c r="V54" s="5" t="n">
        <x:v>3666.19</x:v>
      </x:c>
      <x:c r="W54" s="1" t="str">
        <x:v>08:20</x:v>
      </x:c>
      <x:c r="X54" s="1" t="n">
        <x:v>4.57</x:v>
      </x:c>
      <x:c r="Y54" s="1" t="n">
        <x:f>Parametros_Operacion!$B$5*1</x:f>
        <x:v>31.4</x:v>
      </x:c>
    </x:row>
    <x:row r="55">
      <x:c r="A55" s="1" t="str">
        <x:v>P0102</x:v>
      </x:c>
      <x:c r="B55" s="6" t="n">
        <x:v>46152.3125</x:v>
      </x:c>
      <x:c r="C55" s="1" t="str">
        <x:v>C042</x:v>
      </x:c>
      <x:c r="D55" s="1" t="str">
        <x:v>Mini Súper La Bendición</x:v>
      </x:c>
      <x:c r="E55" s="1" t="str">
        <x:v>San Francisco</x:v>
      </x:c>
      <x:c r="F55" s="7" t="n">
        <x:v>15.64942224496931</x:v>
      </x:c>
      <x:c r="G55" s="7" t="n">
        <x:v>-86.98247971654797</x:v>
      </x:c>
      <x:c r="H55" s="1" t="str">
        <x:v>R005</x:v>
      </x:c>
      <x:c r="I55" s="1" t="str">
        <x:v>José Martínez</x:v>
      </x:c>
      <x:c r="J55" s="1" t="str">
        <x:v>V005</x:v>
      </x:c>
      <x:c r="K55" s="1" t="str">
        <x:v>Camión pequeño</x:v>
      </x:c>
      <x:c r="L55" s="1" t="str">
        <x:v>RT-20260510-R005</x:v>
      </x:c>
      <x:c r="M55" s="1" t="str">
        <x:v>07:19</x:v>
      </x:c>
      <x:c r="N55" s="1" t="str">
        <x:v>07:30</x:v>
      </x:c>
      <x:c r="O55" s="1" t="n">
        <x:v>11</x:v>
      </x:c>
      <x:c r="P55" s="5" t="n">
        <x:f>ROUND(X55+Y55,2)</x:f>
        <x:v>73.78</x:v>
      </x:c>
      <x:c r="Q55" s="5" t="n">
        <x:f>ROUND(P55/Vehiculos!$E$6*Vehiculos!$F$6,2)</x:f>
        <x:v>351.61</x:v>
      </x:c>
      <x:c r="R55" s="1" t="str">
        <x:v>Entregado</x:v>
      </x:c>
      <x:c r="S55" s="1" t="str">
        <x:v>Alta</x:v>
      </x:c>
      <x:c r="T55" s="1" t="n">
        <x:v>1</x:v>
      </x:c>
      <x:c r="U55" s="1" t="n">
        <x:v>1</x:v>
      </x:c>
      <x:c r="V55" s="5" t="n">
        <x:v>4622.53</x:v>
      </x:c>
      <x:c r="W55" s="1" t="str">
        <x:v>08:20</x:v>
      </x:c>
      <x:c r="X55" s="1" t="n">
        <x:v>3.78</x:v>
      </x:c>
      <x:c r="Y55" s="1" t="n">
        <x:f>Parametros_Operacion!$B$8*2</x:f>
        <x:v>70</x:v>
      </x:c>
    </x:row>
    <x:row r="56">
      <x:c r="A56" s="1" t="str">
        <x:v>P0044</x:v>
      </x:c>
      <x:c r="B56" s="6" t="n">
        <x:v>46152.31319444445</x:v>
      </x:c>
      <x:c r="C56" s="1" t="str">
        <x:v>C050</x:v>
      </x:c>
      <x:c r="D56" s="1" t="str">
        <x:v>Comercial La Costa</x:v>
      </x:c>
      <x:c r="E56" s="1" t="str">
        <x:v>La Masica</x:v>
      </x:c>
      <x:c r="F56" s="7" t="n">
        <x:v>15.64284820490915</x:v>
      </x:c>
      <x:c r="G56" s="7" t="n">
        <x:v>-86.70339478481962</x:v>
      </x:c>
      <x:c r="H56" s="1" t="str">
        <x:v>R004</x:v>
      </x:c>
      <x:c r="I56" s="1" t="str">
        <x:v>Daniela Cruz</x:v>
      </x:c>
      <x:c r="J56" s="1" t="str">
        <x:v>V004</x:v>
      </x:c>
      <x:c r="K56" s="1" t="str">
        <x:v>Pickup con carrocería</x:v>
      </x:c>
      <x:c r="L56" s="1" t="str">
        <x:v>RT-20260510-R004</x:v>
      </x:c>
      <x:c r="M56" s="1" t="str">
        <x:v>07:20</x:v>
      </x:c>
      <x:c r="N56" s="1" t="str">
        <x:v>07:31</x:v>
      </x:c>
      <x:c r="O56" s="1" t="n">
        <x:v>11</x:v>
      </x:c>
      <x:c r="P56" s="5" t="n">
        <x:f>ROUND(X56+Y56,2)</x:f>
        <x:v>87.4</x:v>
      </x:c>
      <x:c r="Q56" s="5" t="n">
        <x:f>ROUND(P56/Vehiculos!$E$5*Vehiculos!$F$5,2)</x:f>
        <x:v>317.35</x:v>
      </x:c>
      <x:c r="R56" s="1" t="str">
        <x:v>Entregado</x:v>
      </x:c>
      <x:c r="S56" s="1" t="str">
        <x:v>Media</x:v>
      </x:c>
      <x:c r="T56" s="1" t="n">
        <x:v>1</x:v>
      </x:c>
      <x:c r="U56" s="1" t="n">
        <x:v>1</x:v>
      </x:c>
      <x:c r="V56" s="5" t="n">
        <x:v>3515.97</x:v>
      </x:c>
      <x:c r="W56" s="1" t="str">
        <x:v>08:50</x:v>
      </x:c>
      <x:c r="X56" s="1" t="n">
        <x:v>5</x:v>
      </x:c>
      <x:c r="Y56" s="1" t="n">
        <x:f>Parametros_Operacion!$B$7*2</x:f>
        <x:v>82.4</x:v>
      </x:c>
    </x:row>
    <x:row r="57">
      <x:c r="A57" s="1" t="str">
        <x:v>P0072</x:v>
      </x:c>
      <x:c r="B57" s="6" t="n">
        <x:v>46152.34444444445</x:v>
      </x:c>
      <x:c r="C57" s="1" t="str">
        <x:v>C039</x:v>
      </x:c>
      <x:c r="D57" s="1" t="str">
        <x:v>Pulpería El Centroamericano</x:v>
      </x:c>
      <x:c r="E57" s="1" t="str">
        <x:v>Arizona</x:v>
      </x:c>
      <x:c r="F57" s="7" t="n">
        <x:v>15.60052974847786</x:v>
      </x:c>
      <x:c r="G57" s="7" t="n">
        <x:v>-87.3798685955568</x:v>
      </x:c>
      <x:c r="H57" s="1" t="str">
        <x:v>R006</x:v>
      </x:c>
      <x:c r="I57" s="1" t="str">
        <x:v>Kevin Flores</x:v>
      </x:c>
      <x:c r="J57" s="1" t="str">
        <x:v>V006</x:v>
      </x:c>
      <x:c r="K57" s="1" t="str">
        <x:v>Pickup con carrocería</x:v>
      </x:c>
      <x:c r="L57" s="1" t="str">
        <x:v>RT-20260510-R006</x:v>
      </x:c>
      <x:c r="M57" s="1" t="str">
        <x:v>08:03</x:v>
      </x:c>
      <x:c r="N57" s="1" t="str">
        <x:v>08:16</x:v>
      </x:c>
      <x:c r="O57" s="1" t="n">
        <x:v>13</x:v>
      </x:c>
      <x:c r="P57" s="5" t="n">
        <x:f>ROUND(X57+Y57,2)</x:f>
        <x:v>76.08</x:v>
      </x:c>
      <x:c r="Q57" s="5" t="n">
        <x:f>ROUND(P57/Vehiculos!$E$7*Vehiculos!$F$7,2)</x:f>
        <x:v>290.06</x:v>
      </x:c>
      <x:c r="R57" s="1" t="str">
        <x:v>Entregado</x:v>
      </x:c>
      <x:c r="S57" s="1" t="str">
        <x:v>Alta</x:v>
      </x:c>
      <x:c r="T57" s="1" t="n">
        <x:v>1</x:v>
      </x:c>
      <x:c r="U57" s="1" t="n">
        <x:v>1</x:v>
      </x:c>
      <x:c r="V57" s="5" t="n">
        <x:v>5425.31</x:v>
      </x:c>
      <x:c r="W57" s="1" t="str">
        <x:v>08:20</x:v>
      </x:c>
      <x:c r="X57" s="1" t="n">
        <x:v>3.58</x:v>
      </x:c>
      <x:c r="Y57" s="1" t="n">
        <x:f>Parametros_Operacion!$B$2*1</x:f>
        <x:v>72.5</x:v>
      </x:c>
    </x:row>
    <x:row r="58">
      <x:c r="A58" s="1" t="str">
        <x:v>P0073</x:v>
      </x:c>
      <x:c r="B58" s="6" t="n">
        <x:v>46152.34652777778</x:v>
      </x:c>
      <x:c r="C58" s="1" t="str">
        <x:v>C008</x:v>
      </x:c>
      <x:c r="D58" s="1" t="str">
        <x:v>Pulpería El Buen Vecino</x:v>
      </x:c>
      <x:c r="E58" s="1" t="str">
        <x:v>Esparta</x:v>
      </x:c>
      <x:c r="F58" s="7" t="n">
        <x:v>15.66265280736854</x:v>
      </x:c>
      <x:c r="G58" s="7" t="n">
        <x:v>-87.25434499998507</x:v>
      </x:c>
      <x:c r="H58" s="1" t="str">
        <x:v>R007</x:v>
      </x:c>
      <x:c r="I58" s="1" t="str">
        <x:v>María Hernández</x:v>
      </x:c>
      <x:c r="J58" s="1" t="str">
        <x:v>V007</x:v>
      </x:c>
      <x:c r="K58" s="1" t="str">
        <x:v>Pickup con carrocería</x:v>
      </x:c>
      <x:c r="L58" s="1" t="str">
        <x:v>RT-20260510-R007</x:v>
      </x:c>
      <x:c r="M58" s="1" t="str">
        <x:v>08:08</x:v>
      </x:c>
      <x:c r="N58" s="1" t="str">
        <x:v>08:19</x:v>
      </x:c>
      <x:c r="O58" s="1" t="n">
        <x:v>11</x:v>
      </x:c>
      <x:c r="P58" s="5" t="n">
        <x:f>ROUND(X58+Y58,2)</x:f>
        <x:v>155.42</x:v>
      </x:c>
      <x:c r="Q58" s="5" t="n">
        <x:f>ROUND(P58/Vehiculos!$E$8*Vehiculos!$F$8,2)</x:f>
        <x:v>592.54</x:v>
      </x:c>
      <x:c r="R58" s="1" t="str">
        <x:v>Entregado</x:v>
      </x:c>
      <x:c r="S58" s="1" t="str">
        <x:v>Media</x:v>
      </x:c>
      <x:c r="T58" s="1" t="n">
        <x:v>1</x:v>
      </x:c>
      <x:c r="U58" s="1" t="n">
        <x:v>1</x:v>
      </x:c>
      <x:c r="V58" s="5" t="n">
        <x:v>6048.35</x:v>
      </x:c>
      <x:c r="W58" s="1" t="str">
        <x:v>08:50</x:v>
      </x:c>
      <x:c r="X58" s="1" t="n">
        <x:v>4.42</x:v>
      </x:c>
      <x:c r="Y58" s="1" t="n">
        <x:f>Parametros_Operacion!$B$4*2</x:f>
        <x:v>151</x:v>
      </x:c>
    </x:row>
    <x:row r="59">
      <x:c r="A59" s="1" t="str">
        <x:v>P0108</x:v>
      </x:c>
      <x:c r="B59" s="6" t="n">
        <x:v>46152.356944444444</x:v>
      </x:c>
      <x:c r="C59" s="1" t="str">
        <x:v>C007</x:v>
      </x:c>
      <x:c r="D59" s="1" t="str">
        <x:v>Distribuidora El Faro</x:v>
      </x:c>
      <x:c r="E59" s="1" t="str">
        <x:v>Arizona</x:v>
      </x:c>
      <x:c r="F59" s="7" t="n">
        <x:v>15.65824299089472</x:v>
      </x:c>
      <x:c r="G59" s="7" t="n">
        <x:v>-87.37734008221386</x:v>
      </x:c>
      <x:c r="H59" s="1" t="str">
        <x:v>R006</x:v>
      </x:c>
      <x:c r="I59" s="1" t="str">
        <x:v>Kevin Flores</x:v>
      </x:c>
      <x:c r="J59" s="1" t="str">
        <x:v>V006</x:v>
      </x:c>
      <x:c r="K59" s="1" t="str">
        <x:v>Pickup con carrocería</x:v>
      </x:c>
      <x:c r="L59" s="1" t="str">
        <x:v>RT-20260510-R006</x:v>
      </x:c>
      <x:c r="M59" s="1" t="str">
        <x:v>08:16</x:v>
      </x:c>
      <x:c r="N59" s="1" t="str">
        <x:v>08:34</x:v>
      </x:c>
      <x:c r="O59" s="1" t="n">
        <x:v>18</x:v>
      </x:c>
      <x:c r="P59" s="5" t="n">
        <x:f>ROUND(X59+Y59,2)</x:f>
        <x:v>86.77</x:v>
      </x:c>
      <x:c r="Q59" s="5" t="n">
        <x:f>ROUND(P59/Vehiculos!$E$7*Vehiculos!$F$7,2)</x:f>
        <x:v>330.81</x:v>
      </x:c>
      <x:c r="R59" s="1" t="str">
        <x:v>Retrasado</x:v>
      </x:c>
      <x:c r="S59" s="1" t="str">
        <x:v>Alta</x:v>
      </x:c>
      <x:c r="T59" s="1" t="n">
        <x:v>2</x:v>
      </x:c>
      <x:c r="U59" s="1" t="n">
        <x:v>2</x:v>
      </x:c>
      <x:c r="V59" s="5" t="n">
        <x:v>6180.98</x:v>
      </x:c>
      <x:c r="W59" s="1" t="str">
        <x:v>08:20</x:v>
      </x:c>
      <x:c r="X59" s="1" t="n">
        <x:v>14.27</x:v>
      </x:c>
      <x:c r="Y59" s="1" t="n">
        <x:f>Parametros_Operacion!$B$2*1</x:f>
        <x:v>72.5</x:v>
      </x:c>
    </x:row>
    <x:row r="60">
      <x:c r="A60" s="1" t="str">
        <x:v>P0043</x:v>
      </x:c>
      <x:c r="B60" s="6" t="n">
        <x:v>46152.36736111111</x:v>
      </x:c>
      <x:c r="C60" s="1" t="str">
        <x:v>C059</x:v>
      </x:c>
      <x:c r="D60" s="1" t="str">
        <x:v>Pulpería El Centroamericano</x:v>
      </x:c>
      <x:c r="E60" s="1" t="str">
        <x:v>Tela</x:v>
      </x:c>
      <x:c r="F60" s="7" t="n">
        <x:v>15.78985251396864</x:v>
      </x:c>
      <x:c r="G60" s="7" t="n">
        <x:v>-87.46255549737951</x:v>
      </x:c>
      <x:c r="H60" s="1" t="str">
        <x:v>R002</x:v>
      </x:c>
      <x:c r="I60" s="1" t="str">
        <x:v>Ana López</x:v>
      </x:c>
      <x:c r="J60" s="1" t="str">
        <x:v>V002</x:v>
      </x:c>
      <x:c r="K60" s="1" t="str">
        <x:v>Pickup con carrocería</x:v>
      </x:c>
      <x:c r="L60" s="1" t="str">
        <x:v>RT-20260510-R002</x:v>
      </x:c>
      <x:c r="M60" s="1" t="str">
        <x:v>08:38</x:v>
      </x:c>
      <x:c r="N60" s="1" t="str">
        <x:v>08:49</x:v>
      </x:c>
      <x:c r="O60" s="1" t="n">
        <x:v>11</x:v>
      </x:c>
      <x:c r="P60" s="5" t="n">
        <x:f>ROUND(X60+Y60,2)</x:f>
        <x:v>208.62</x:v>
      </x:c>
      <x:c r="Q60" s="5" t="n">
        <x:f>ROUND(P60/Vehiculos!$E$3*Vehiculos!$F$3,2)</x:f>
        <x:v>757.5</x:v>
      </x:c>
      <x:c r="R60" s="1" t="str">
        <x:v>Entregado</x:v>
      </x:c>
      <x:c r="S60" s="1" t="str">
        <x:v>Baja</x:v>
      </x:c>
      <x:c r="T60" s="1" t="n">
        <x:v>1</x:v>
      </x:c>
      <x:c r="U60" s="1" t="n">
        <x:v>1</x:v>
      </x:c>
      <x:c r="V60" s="5" t="n">
        <x:v>2671.11</x:v>
      </x:c>
      <x:c r="W60" s="1" t="str">
        <x:v>09:30</x:v>
      </x:c>
      <x:c r="X60" s="1" t="n">
        <x:v>4.02</x:v>
      </x:c>
      <x:c r="Y60" s="1" t="n">
        <x:f>Parametros_Operacion!$B$9*2</x:f>
        <x:v>204.6</x:v>
      </x:c>
    </x:row>
    <x:row r="61">
      <x:c r="A61" s="1" t="str">
        <x:v>P0090</x:v>
      </x:c>
      <x:c r="B61" s="6" t="n">
        <x:v>46153.27847222222</x:v>
      </x:c>
      <x:c r="C61" s="1" t="str">
        <x:v>C041</x:v>
      </x:c>
      <x:c r="D61" s="1" t="str">
        <x:v>Pulpería Oseguera</x:v>
      </x:c>
      <x:c r="E61" s="1" t="str">
        <x:v>La Ceiba</x:v>
      </x:c>
      <x:c r="F61" s="7" t="n">
        <x:v>15.77279131084483</x:v>
      </x:c>
      <x:c r="G61" s="7" t="n">
        <x:v>-86.81479599652472</x:v>
      </x:c>
      <x:c r="H61" s="1" t="str">
        <x:v>R001</x:v>
      </x:c>
      <x:c r="I61" s="1" t="str">
        <x:v>Carlos Mejía</x:v>
      </x:c>
      <x:c r="J61" s="1" t="str">
        <x:v>V001</x:v>
      </x:c>
      <x:c r="K61" s="1" t="str">
        <x:v>Pickup con carrocería</x:v>
      </x:c>
      <x:c r="L61" s="1" t="str">
        <x:v>RT-20260511-R001</x:v>
      </x:c>
      <x:c r="M61" s="1" t="str">
        <x:v>06:30</x:v>
      </x:c>
      <x:c r="N61" s="1" t="str">
        <x:v>06:41</x:v>
      </x:c>
      <x:c r="O61" s="1" t="n">
        <x:v>11</x:v>
      </x:c>
      <x:c r="P61" s="5" t="n">
        <x:f>ROUND(X61+Y61,2)</x:f>
        <x:v>5</x:v>
      </x:c>
      <x:c r="Q61" s="5" t="n">
        <x:f>ROUND(P61/Vehiculos!$E$2*Vehiculos!$F$2,2)</x:f>
        <x:v>17.33</x:v>
      </x:c>
      <x:c r="R61" s="1" t="str">
        <x:v>Entregado</x:v>
      </x:c>
      <x:c r="S61" s="1" t="str">
        <x:v>Baja</x:v>
      </x:c>
      <x:c r="T61" s="1" t="n">
        <x:v>1</x:v>
      </x:c>
      <x:c r="U61" s="1" t="n">
        <x:v>1</x:v>
      </x:c>
      <x:c r="V61" s="5" t="n">
        <x:v>1594.43</x:v>
      </x:c>
      <x:c r="W61" s="1" t="str">
        <x:v>09:30</x:v>
      </x:c>
      <x:c r="X61" s="1" t="n">
        <x:v>5</x:v>
      </x:c>
      <x:c r="Y61" s="1" t="n">
        <x:f>Parametros_Operacion!$B$6*0</x:f>
        <x:v>0</x:v>
      </x:c>
    </x:row>
    <x:row r="62">
      <x:c r="A62" s="1" t="str">
        <x:v>P0118</x:v>
      </x:c>
      <x:c r="B62" s="6" t="n">
        <x:v>46153.294444444444</x:v>
      </x:c>
      <x:c r="C62" s="1" t="str">
        <x:v>C026</x:v>
      </x:c>
      <x:c r="D62" s="1" t="str">
        <x:v>Abarrotería El Centro</x:v>
      </x:c>
      <x:c r="E62" s="1" t="str">
        <x:v>El Porvenir</x:v>
      </x:c>
      <x:c r="F62" s="7" t="n">
        <x:v>15.73229290571563</x:v>
      </x:c>
      <x:c r="G62" s="7" t="n">
        <x:v>-86.88455113795342</x:v>
      </x:c>
      <x:c r="H62" s="1" t="str">
        <x:v>R008</x:v>
      </x:c>
      <x:c r="I62" s="1" t="str">
        <x:v>Jorge Castro</x:v>
      </x:c>
      <x:c r="J62" s="1" t="str">
        <x:v>V008</x:v>
      </x:c>
      <x:c r="K62" s="1" t="str">
        <x:v>Camión pequeño</x:v>
      </x:c>
      <x:c r="L62" s="1" t="str">
        <x:v>RT-20260511-R008</x:v>
      </x:c>
      <x:c r="M62" s="1" t="str">
        <x:v>06:54</x:v>
      </x:c>
      <x:c r="N62" s="1" t="str">
        <x:v>07:04</x:v>
      </x:c>
      <x:c r="O62" s="1" t="n">
        <x:v>10</x:v>
      </x:c>
      <x:c r="P62" s="5" t="n">
        <x:f>ROUND(X62+Y62,2)</x:f>
        <x:v>36.02</x:v>
      </x:c>
      <x:c r="Q62" s="5" t="n">
        <x:f>ROUND(P62/Vehiculos!$E$9*Vehiculos!$F$9,2)</x:f>
        <x:v>183.1</x:v>
      </x:c>
      <x:c r="R62" s="1" t="str">
        <x:v>Entregado</x:v>
      </x:c>
      <x:c r="S62" s="1" t="str">
        <x:v>Media</x:v>
      </x:c>
      <x:c r="T62" s="1" t="n">
        <x:v>1</x:v>
      </x:c>
      <x:c r="U62" s="1" t="n">
        <x:v>1</x:v>
      </x:c>
      <x:c r="V62" s="5" t="n">
        <x:v>2134.8</x:v>
      </x:c>
      <x:c r="W62" s="1" t="str">
        <x:v>08:50</x:v>
      </x:c>
      <x:c r="X62" s="1" t="n">
        <x:v>3.02</x:v>
      </x:c>
      <x:c r="Y62" s="1" t="n">
        <x:f>Parametros_Operacion!$B$3*2</x:f>
        <x:v>33</x:v>
      </x:c>
    </x:row>
    <x:row r="63">
      <x:c r="A63" s="1" t="str">
        <x:v>P0057</x:v>
      </x:c>
      <x:c r="B63" s="6" t="n">
        <x:v>46153.3125</x:v>
      </x:c>
      <x:c r="C63" s="1" t="str">
        <x:v>C044</x:v>
      </x:c>
      <x:c r="D63" s="1" t="str">
        <x:v>Comercial Rivera</x:v>
      </x:c>
      <x:c r="E63" s="1" t="str">
        <x:v>La Masica</x:v>
      </x:c>
      <x:c r="F63" s="7" t="n">
        <x:v>15.6264976829468</x:v>
      </x:c>
      <x:c r="G63" s="7" t="n">
        <x:v>-86.69902048426763</x:v>
      </x:c>
      <x:c r="H63" s="1" t="str">
        <x:v>R004</x:v>
      </x:c>
      <x:c r="I63" s="1" t="str">
        <x:v>Daniela Cruz</x:v>
      </x:c>
      <x:c r="J63" s="1" t="str">
        <x:v>V004</x:v>
      </x:c>
      <x:c r="K63" s="1" t="str">
        <x:v>Pickup con carrocería</x:v>
      </x:c>
      <x:c r="L63" s="1" t="str">
        <x:v>RT-20260511-R004</x:v>
      </x:c>
      <x:c r="M63" s="1" t="str">
        <x:v>07:20</x:v>
      </x:c>
      <x:c r="N63" s="1" t="str">
        <x:v>07:30</x:v>
      </x:c>
      <x:c r="O63" s="1" t="n">
        <x:v>10</x:v>
      </x:c>
      <x:c r="P63" s="5" t="n">
        <x:f>ROUND(X63+Y63,2)</x:f>
        <x:v>42.58</x:v>
      </x:c>
      <x:c r="Q63" s="5" t="n">
        <x:f>ROUND(P63/Vehiculos!$E$5*Vehiculos!$F$5,2)</x:f>
        <x:v>154.61</x:v>
      </x:c>
      <x:c r="R63" s="1" t="str">
        <x:v>Entregado</x:v>
      </x:c>
      <x:c r="S63" s="1" t="str">
        <x:v>Alta</x:v>
      </x:c>
      <x:c r="T63" s="1" t="n">
        <x:v>1</x:v>
      </x:c>
      <x:c r="U63" s="1" t="n">
        <x:v>1</x:v>
      </x:c>
      <x:c r="V63" s="5" t="n">
        <x:v>3755.51</x:v>
      </x:c>
      <x:c r="W63" s="1" t="str">
        <x:v>08:20</x:v>
      </x:c>
      <x:c r="X63" s="1" t="n">
        <x:v>1.38</x:v>
      </x:c>
      <x:c r="Y63" s="1" t="n">
        <x:f>Parametros_Operacion!$B$7*1</x:f>
        <x:v>41.2</x:v>
      </x:c>
    </x:row>
    <x:row r="64">
      <x:c r="A64" s="1" t="str">
        <x:v>P0085</x:v>
      </x:c>
      <x:c r="B64" s="6" t="n">
        <x:v>46153.31805555556</x:v>
      </x:c>
      <x:c r="C64" s="1" t="str">
        <x:v>C044</x:v>
      </x:c>
      <x:c r="D64" s="1" t="str">
        <x:v>Comercial Rivera</x:v>
      </x:c>
      <x:c r="E64" s="1" t="str">
        <x:v>La Masica</x:v>
      </x:c>
      <x:c r="F64" s="7" t="n">
        <x:v>15.6264976829468</x:v>
      </x:c>
      <x:c r="G64" s="7" t="n">
        <x:v>-86.69902048426763</x:v>
      </x:c>
      <x:c r="H64" s="1" t="str">
        <x:v>R004</x:v>
      </x:c>
      <x:c r="I64" s="1" t="str">
        <x:v>Daniela Cruz</x:v>
      </x:c>
      <x:c r="J64" s="1" t="str">
        <x:v>V004</x:v>
      </x:c>
      <x:c r="K64" s="1" t="str">
        <x:v>Pickup con carrocería</x:v>
      </x:c>
      <x:c r="L64" s="1" t="str">
        <x:v>RT-20260511-R004</x:v>
      </x:c>
      <x:c r="M64" s="1" t="str">
        <x:v>07:30</x:v>
      </x:c>
      <x:c r="N64" s="1" t="str">
        <x:v>07:38</x:v>
      </x:c>
      <x:c r="O64" s="1" t="n">
        <x:v>8</x:v>
      </x:c>
      <x:c r="P64" s="5" t="n">
        <x:f>ROUND(X64+Y64,2)</x:f>
        <x:v>0</x:v>
      </x:c>
      <x:c r="Q64" s="5" t="n">
        <x:f>ROUND(P64/Vehiculos!$E$5*Vehiculos!$F$5,2)</x:f>
        <x:v>0</x:v>
      </x:c>
      <x:c r="R64" s="1" t="str">
        <x:v>Entregado</x:v>
      </x:c>
      <x:c r="S64" s="1" t="str">
        <x:v>Media</x:v>
      </x:c>
      <x:c r="T64" s="1" t="n">
        <x:v>2</x:v>
      </x:c>
      <x:c r="U64" s="1" t="n">
        <x:v>2</x:v>
      </x:c>
      <x:c r="V64" s="5" t="n">
        <x:v>3541.43</x:v>
      </x:c>
      <x:c r="W64" s="1" t="str">
        <x:v>08:50</x:v>
      </x:c>
      <x:c r="X64" s="1" t="n">
        <x:v>0</x:v>
      </x:c>
      <x:c r="Y64" s="1" t="n">
        <x:f>Parametros_Operacion!$B$7*0</x:f>
        <x:v>0</x:v>
      </x:c>
    </x:row>
    <x:row r="65">
      <x:c r="A65" s="1" t="str">
        <x:v>P0119</x:v>
      </x:c>
      <x:c r="B65" s="6" t="n">
        <x:v>46153.32638888889</x:v>
      </x:c>
      <x:c r="C65" s="1" t="str">
        <x:v>C022</x:v>
      </x:c>
      <x:c r="D65" s="1" t="str">
        <x:v>Mini Súper La Bendición</x:v>
      </x:c>
      <x:c r="E65" s="1" t="str">
        <x:v>La Masica</x:v>
      </x:c>
      <x:c r="F65" s="7" t="n">
        <x:v>15.64119141911907</x:v>
      </x:c>
      <x:c r="G65" s="7" t="n">
        <x:v>-86.68050338819044</x:v>
      </x:c>
      <x:c r="H65" s="1" t="str">
        <x:v>R004</x:v>
      </x:c>
      <x:c r="I65" s="1" t="str">
        <x:v>Daniela Cruz</x:v>
      </x:c>
      <x:c r="J65" s="1" t="str">
        <x:v>V004</x:v>
      </x:c>
      <x:c r="K65" s="1" t="str">
        <x:v>Pickup con carrocería</x:v>
      </x:c>
      <x:c r="L65" s="1" t="str">
        <x:v>RT-20260511-R004</x:v>
      </x:c>
      <x:c r="M65" s="1" t="str">
        <x:v>07:38</x:v>
      </x:c>
      <x:c r="N65" s="1" t="str">
        <x:v>07:50</x:v>
      </x:c>
      <x:c r="O65" s="1" t="n">
        <x:v>12</x:v>
      </x:c>
      <x:c r="P65" s="5" t="n">
        <x:f>ROUND(X65+Y65,2)</x:f>
        <x:v>48.82</x:v>
      </x:c>
      <x:c r="Q65" s="5" t="n">
        <x:f>ROUND(P65/Vehiculos!$E$5*Vehiculos!$F$5,2)</x:f>
        <x:v>177.26</x:v>
      </x:c>
      <x:c r="R65" s="1" t="str">
        <x:v>Entregado</x:v>
      </x:c>
      <x:c r="S65" s="1" t="str">
        <x:v>Baja</x:v>
      </x:c>
      <x:c r="T65" s="1" t="n">
        <x:v>3</x:v>
      </x:c>
      <x:c r="U65" s="1" t="n">
        <x:v>3</x:v>
      </x:c>
      <x:c r="V65" s="5" t="n">
        <x:v>6946.82</x:v>
      </x:c>
      <x:c r="W65" s="1" t="str">
        <x:v>09:30</x:v>
      </x:c>
      <x:c r="X65" s="1" t="n">
        <x:v>7.62</x:v>
      </x:c>
      <x:c r="Y65" s="1" t="n">
        <x:f>Parametros_Operacion!$B$7*1</x:f>
        <x:v>41.2</x:v>
      </x:c>
    </x:row>
    <x:row r="66">
      <x:c r="A66" s="1" t="str">
        <x:v>P0020</x:v>
      </x:c>
      <x:c r="B66" s="6" t="n">
        <x:v>46153.34444444445</x:v>
      </x:c>
      <x:c r="C66" s="1" t="str">
        <x:v>C039</x:v>
      </x:c>
      <x:c r="D66" s="1" t="str">
        <x:v>Pulpería El Centroamericano</x:v>
      </x:c>
      <x:c r="E66" s="1" t="str">
        <x:v>Arizona</x:v>
      </x:c>
      <x:c r="F66" s="7" t="n">
        <x:v>15.60052974847786</x:v>
      </x:c>
      <x:c r="G66" s="7" t="n">
        <x:v>-87.3798685955568</x:v>
      </x:c>
      <x:c r="H66" s="1" t="str">
        <x:v>R006</x:v>
      </x:c>
      <x:c r="I66" s="1" t="str">
        <x:v>Kevin Flores</x:v>
      </x:c>
      <x:c r="J66" s="1" t="str">
        <x:v>V006</x:v>
      </x:c>
      <x:c r="K66" s="1" t="str">
        <x:v>Pickup con carrocería</x:v>
      </x:c>
      <x:c r="L66" s="1" t="str">
        <x:v>RT-20260511-R006</x:v>
      </x:c>
      <x:c r="M66" s="1" t="str">
        <x:v>08:03</x:v>
      </x:c>
      <x:c r="N66" s="1" t="str">
        <x:v>08:16</x:v>
      </x:c>
      <x:c r="O66" s="1" t="n">
        <x:v>13</x:v>
      </x:c>
      <x:c r="P66" s="5" t="n">
        <x:f>ROUND(X66+Y66,2)</x:f>
        <x:v>152.16</x:v>
      </x:c>
      <x:c r="Q66" s="5" t="n">
        <x:f>ROUND(P66/Vehiculos!$E$7*Vehiculos!$F$7,2)</x:f>
        <x:v>580.11</x:v>
      </x:c>
      <x:c r="R66" s="1" t="str">
        <x:v>Entregado</x:v>
      </x:c>
      <x:c r="S66" s="1" t="str">
        <x:v>Media</x:v>
      </x:c>
      <x:c r="T66" s="1" t="n">
        <x:v>1</x:v>
      </x:c>
      <x:c r="U66" s="1" t="n">
        <x:v>1</x:v>
      </x:c>
      <x:c r="V66" s="5" t="n">
        <x:v>6078.63</x:v>
      </x:c>
      <x:c r="W66" s="1" t="str">
        <x:v>08:50</x:v>
      </x:c>
      <x:c r="X66" s="1" t="n">
        <x:v>7.16</x:v>
      </x:c>
      <x:c r="Y66" s="1" t="n">
        <x:f>Parametros_Operacion!$B$2*2</x:f>
        <x:v>145</x:v>
      </x:c>
    </x:row>
    <x:row r="67">
      <x:c r="A67" s="1" t="str">
        <x:v>P0049</x:v>
      </x:c>
      <x:c r="B67" s="6" t="n">
        <x:v>46153.34652777778</x:v>
      </x:c>
      <x:c r="C67" s="1" t="str">
        <x:v>C018</x:v>
      </x:c>
      <x:c r="D67" s="1" t="str">
        <x:v>Comercial Caribe</x:v>
      </x:c>
      <x:c r="E67" s="1" t="str">
        <x:v>Esparta</x:v>
      </x:c>
      <x:c r="F67" s="7" t="n">
        <x:v>15.66265844998048</x:v>
      </x:c>
      <x:c r="G67" s="7" t="n">
        <x:v>-87.2525029728019</x:v>
      </x:c>
      <x:c r="H67" s="1" t="str">
        <x:v>R007</x:v>
      </x:c>
      <x:c r="I67" s="1" t="str">
        <x:v>María Hernández</x:v>
      </x:c>
      <x:c r="J67" s="1" t="str">
        <x:v>V007</x:v>
      </x:c>
      <x:c r="K67" s="1" t="str">
        <x:v>Pickup con carrocería</x:v>
      </x:c>
      <x:c r="L67" s="1" t="str">
        <x:v>RT-20260511-R007</x:v>
      </x:c>
      <x:c r="M67" s="1" t="str">
        <x:v>08:08</x:v>
      </x:c>
      <x:c r="N67" s="1" t="str">
        <x:v>08:19</x:v>
      </x:c>
      <x:c r="O67" s="1" t="n">
        <x:v>11</x:v>
      </x:c>
      <x:c r="P67" s="5" t="n">
        <x:f>ROUND(X67+Y67,2)</x:f>
        <x:v>77.92</x:v>
      </x:c>
      <x:c r="Q67" s="5" t="n">
        <x:f>ROUND(P67/Vehiculos!$E$8*Vehiculos!$F$8,2)</x:f>
        <x:v>297.07</x:v>
      </x:c>
      <x:c r="R67" s="1" t="str">
        <x:v>Entregado</x:v>
      </x:c>
      <x:c r="S67" s="1" t="str">
        <x:v>Alta</x:v>
      </x:c>
      <x:c r="T67" s="1" t="n">
        <x:v>1</x:v>
      </x:c>
      <x:c r="U67" s="1" t="n">
        <x:v>1</x:v>
      </x:c>
      <x:c r="V67" s="5" t="n">
        <x:v>2021.18</x:v>
      </x:c>
      <x:c r="W67" s="1" t="str">
        <x:v>08:20</x:v>
      </x:c>
      <x:c r="X67" s="1" t="n">
        <x:v>2.42</x:v>
      </x:c>
      <x:c r="Y67" s="1" t="n">
        <x:f>Parametros_Operacion!$B$4*1</x:f>
        <x:v>75.5</x:v>
      </x:c>
    </x:row>
    <x:row r="68">
      <x:c r="A68" s="1" t="str">
        <x:v>P0081</x:v>
      </x:c>
      <x:c r="B68" s="6" t="n">
        <x:v>46153.356944444444</x:v>
      </x:c>
      <x:c r="C68" s="1" t="str">
        <x:v>C045</x:v>
      </x:c>
      <x:c r="D68" s="1" t="str">
        <x:v>Mini Market San José</x:v>
      </x:c>
      <x:c r="E68" s="1" t="str">
        <x:v>Esparta</x:v>
      </x:c>
      <x:c r="F68" s="7" t="n">
        <x:v>15.63866963202749</x:v>
      </x:c>
      <x:c r="G68" s="7" t="n">
        <x:v>-87.28674513285189</x:v>
      </x:c>
      <x:c r="H68" s="1" t="str">
        <x:v>R007</x:v>
      </x:c>
      <x:c r="I68" s="1" t="str">
        <x:v>María Hernández</x:v>
      </x:c>
      <x:c r="J68" s="1" t="str">
        <x:v>V007</x:v>
      </x:c>
      <x:c r="K68" s="1" t="str">
        <x:v>Pickup con carrocería</x:v>
      </x:c>
      <x:c r="L68" s="1" t="str">
        <x:v>RT-20260511-R007</x:v>
      </x:c>
      <x:c r="M68" s="1" t="str">
        <x:v>08:19</x:v>
      </x:c>
      <x:c r="N68" s="1" t="str">
        <x:v>08:34</x:v>
      </x:c>
      <x:c r="O68" s="1" t="n">
        <x:v>15</x:v>
      </x:c>
      <x:c r="P68" s="5" t="n">
        <x:f>ROUND(X68+Y68,2)</x:f>
        <x:v>5.67</x:v>
      </x:c>
      <x:c r="Q68" s="5" t="n">
        <x:f>ROUND(P68/Vehiculos!$E$8*Vehiculos!$F$8,2)</x:f>
        <x:v>21.62</x:v>
      </x:c>
      <x:c r="R68" s="1" t="str">
        <x:v>Entregado</x:v>
      </x:c>
      <x:c r="S68" s="1" t="str">
        <x:v>Media</x:v>
      </x:c>
      <x:c r="T68" s="1" t="n">
        <x:v>2</x:v>
      </x:c>
      <x:c r="U68" s="1" t="n">
        <x:v>3</x:v>
      </x:c>
      <x:c r="V68" s="5" t="n">
        <x:v>3694.83</x:v>
      </x:c>
      <x:c r="W68" s="1" t="str">
        <x:v>08:50</x:v>
      </x:c>
      <x:c r="X68" s="1" t="n">
        <x:v>5.67</x:v>
      </x:c>
      <x:c r="Y68" s="1" t="n">
        <x:f>Parametros_Operacion!$B$4*0</x:f>
        <x:v>0</x:v>
      </x:c>
    </x:row>
    <x:row r="69">
      <x:c r="A69" s="1" t="str">
        <x:v>P0056</x:v>
      </x:c>
      <x:c r="B69" s="6" t="n">
        <x:v>46153.368055555555</x:v>
      </x:c>
      <x:c r="C69" s="1" t="str">
        <x:v>C029</x:v>
      </x:c>
      <x:c r="D69" s="1" t="str">
        <x:v>Mini Súper El Triunfo</x:v>
      </x:c>
      <x:c r="E69" s="1" t="str">
        <x:v>Esparta</x:v>
      </x:c>
      <x:c r="F69" s="7" t="n">
        <x:v>15.67954455979815</x:v>
      </x:c>
      <x:c r="G69" s="7" t="n">
        <x:v>-87.27057452130482</x:v>
      </x:c>
      <x:c r="H69" s="1" t="str">
        <x:v>R007</x:v>
      </x:c>
      <x:c r="I69" s="1" t="str">
        <x:v>María Hernández</x:v>
      </x:c>
      <x:c r="J69" s="1" t="str">
        <x:v>V007</x:v>
      </x:c>
      <x:c r="K69" s="1" t="str">
        <x:v>Pickup con carrocería</x:v>
      </x:c>
      <x:c r="L69" s="1" t="str">
        <x:v>RT-20260511-R007</x:v>
      </x:c>
      <x:c r="M69" s="1" t="str">
        <x:v>08:34</x:v>
      </x:c>
      <x:c r="N69" s="1" t="str">
        <x:v>08:50</x:v>
      </x:c>
      <x:c r="O69" s="1" t="n">
        <x:v>16</x:v>
      </x:c>
      <x:c r="P69" s="5" t="n">
        <x:f>ROUND(X69+Y69,2)</x:f>
        <x:v>85.06</x:v>
      </x:c>
      <x:c r="Q69" s="5" t="n">
        <x:f>ROUND(P69/Vehiculos!$E$8*Vehiculos!$F$8,2)</x:f>
        <x:v>324.29</x:v>
      </x:c>
      <x:c r="R69" s="1" t="str">
        <x:v>Retrasado</x:v>
      </x:c>
      <x:c r="S69" s="1" t="str">
        <x:v>Alta</x:v>
      </x:c>
      <x:c r="T69" s="1" t="n">
        <x:v>3</x:v>
      </x:c>
      <x:c r="U69" s="1" t="n">
        <x:v>2</x:v>
      </x:c>
      <x:c r="V69" s="5" t="n">
        <x:v>4999.87</x:v>
      </x:c>
      <x:c r="W69" s="1" t="str">
        <x:v>08:20</x:v>
      </x:c>
      <x:c r="X69" s="1" t="n">
        <x:v>9.56</x:v>
      </x:c>
      <x:c r="Y69" s="1" t="n">
        <x:f>Parametros_Operacion!$B$4*1</x:f>
        <x:v>75.5</x:v>
      </x:c>
    </x:row>
    <x:row r="70">
      <x:c r="A70" s="1" t="str">
        <x:v>P0088</x:v>
      </x:c>
      <x:c r="B70" s="6" t="n">
        <x:v>46153.36875</x:v>
      </x:c>
      <x:c r="C70" s="1" t="str">
        <x:v>C025</x:v>
      </x:c>
      <x:c r="D70" s="1" t="str">
        <x:v>Mini Market San José</x:v>
      </x:c>
      <x:c r="E70" s="1" t="str">
        <x:v>Tela</x:v>
      </x:c>
      <x:c r="F70" s="7" t="n">
        <x:v>15.7668037630801</x:v>
      </x:c>
      <x:c r="G70" s="7" t="n">
        <x:v>-87.42656483065103</x:v>
      </x:c>
      <x:c r="H70" s="1" t="str">
        <x:v>R002</x:v>
      </x:c>
      <x:c r="I70" s="1" t="str">
        <x:v>Ana López</x:v>
      </x:c>
      <x:c r="J70" s="1" t="str">
        <x:v>V002</x:v>
      </x:c>
      <x:c r="K70" s="1" t="str">
        <x:v>Pickup con carrocería</x:v>
      </x:c>
      <x:c r="L70" s="1" t="str">
        <x:v>RT-20260511-R002</x:v>
      </x:c>
      <x:c r="M70" s="1" t="str">
        <x:v>08:38</x:v>
      </x:c>
      <x:c r="N70" s="1" t="str">
        <x:v>08:51</x:v>
      </x:c>
      <x:c r="O70" s="1" t="n">
        <x:v>13</x:v>
      </x:c>
      <x:c r="P70" s="5" t="n">
        <x:f>ROUND(X70+Y70,2)</x:f>
        <x:v>106.27</x:v>
      </x:c>
      <x:c r="Q70" s="5" t="n">
        <x:f>ROUND(P70/Vehiculos!$E$3*Vehiculos!$F$3,2)</x:f>
        <x:v>385.86</x:v>
      </x:c>
      <x:c r="R70" s="1" t="str">
        <x:v>Entregado</x:v>
      </x:c>
      <x:c r="S70" s="1" t="str">
        <x:v>Baja</x:v>
      </x:c>
      <x:c r="T70" s="1" t="n">
        <x:v>1</x:v>
      </x:c>
      <x:c r="U70" s="1" t="n">
        <x:v>1</x:v>
      </x:c>
      <x:c r="V70" s="5" t="n">
        <x:v>2761.3</x:v>
      </x:c>
      <x:c r="W70" s="1" t="str">
        <x:v>09:30</x:v>
      </x:c>
      <x:c r="X70" s="1" t="n">
        <x:v>3.97</x:v>
      </x:c>
      <x:c r="Y70" s="1" t="n">
        <x:f>Parametros_Operacion!$B$9*1</x:f>
        <x:v>102.3</x:v>
      </x:c>
    </x:row>
    <x:row r="71">
      <x:c r="A71" s="1" t="str">
        <x:v>P0083</x:v>
      </x:c>
      <x:c r="B71" s="6" t="n">
        <x:v>46153.37847222222</x:v>
      </x:c>
      <x:c r="C71" s="1" t="str">
        <x:v>C049</x:v>
      </x:c>
      <x:c r="D71" s="1" t="str">
        <x:v>Mini Súper El Triunfo</x:v>
      </x:c>
      <x:c r="E71" s="1" t="str">
        <x:v>Tela</x:v>
      </x:c>
      <x:c r="F71" s="7" t="n">
        <x:v>15.79873753732853</x:v>
      </x:c>
      <x:c r="G71" s="7" t="n">
        <x:v>-87.43821825866483</x:v>
      </x:c>
      <x:c r="H71" s="1" t="str">
        <x:v>R002</x:v>
      </x:c>
      <x:c r="I71" s="1" t="str">
        <x:v>Ana López</x:v>
      </x:c>
      <x:c r="J71" s="1" t="str">
        <x:v>V002</x:v>
      </x:c>
      <x:c r="K71" s="1" t="str">
        <x:v>Pickup con carrocería</x:v>
      </x:c>
      <x:c r="L71" s="1" t="str">
        <x:v>RT-20260511-R002</x:v>
      </x:c>
      <x:c r="M71" s="1" t="str">
        <x:v>08:51</x:v>
      </x:c>
      <x:c r="N71" s="1" t="str">
        <x:v>09:05</x:v>
      </x:c>
      <x:c r="O71" s="1" t="n">
        <x:v>14</x:v>
      </x:c>
      <x:c r="P71" s="5" t="n">
        <x:f>ROUND(X71+Y71,2)</x:f>
        <x:v>110.55</x:v>
      </x:c>
      <x:c r="Q71" s="5" t="n">
        <x:f>ROUND(P71/Vehiculos!$E$3*Vehiculos!$F$3,2)</x:f>
        <x:v>401.4</x:v>
      </x:c>
      <x:c r="R71" s="1" t="str">
        <x:v>Retrasado</x:v>
      </x:c>
      <x:c r="S71" s="1" t="str">
        <x:v>Media</x:v>
      </x:c>
      <x:c r="T71" s="1" t="n">
        <x:v>2</x:v>
      </x:c>
      <x:c r="U71" s="1" t="n">
        <x:v>2</x:v>
      </x:c>
      <x:c r="V71" s="5" t="n">
        <x:v>2897.12</x:v>
      </x:c>
      <x:c r="W71" s="1" t="str">
        <x:v>08:50</x:v>
      </x:c>
      <x:c r="X71" s="1" t="n">
        <x:v>8.25</x:v>
      </x:c>
      <x:c r="Y71" s="1" t="n">
        <x:f>Parametros_Operacion!$B$9*1</x:f>
        <x:v>102.3</x:v>
      </x:c>
    </x:row>
    <x:row r="72">
      <x:c r="A72" s="1" t="str">
        <x:v>P0068</x:v>
      </x:c>
      <x:c r="B72" s="6" t="n">
        <x:v>46154.31527777778</x:v>
      </x:c>
      <x:c r="C72" s="1" t="str">
        <x:v>C023</x:v>
      </x:c>
      <x:c r="D72" s="1" t="str">
        <x:v>Supermercado Rafael</x:v>
      </x:c>
      <x:c r="E72" s="1" t="str">
        <x:v>La Masica</x:v>
      </x:c>
      <x:c r="F72" s="7" t="n">
        <x:v>15.6461293985481</x:v>
      </x:c>
      <x:c r="G72" s="7" t="n">
        <x:v>-86.73872358205551</x:v>
      </x:c>
      <x:c r="H72" s="1" t="str">
        <x:v>R004</x:v>
      </x:c>
      <x:c r="I72" s="1" t="str">
        <x:v>Daniela Cruz</x:v>
      </x:c>
      <x:c r="J72" s="1" t="str">
        <x:v>V004</x:v>
      </x:c>
      <x:c r="K72" s="1" t="str">
        <x:v>Pickup con carrocería</x:v>
      </x:c>
      <x:c r="L72" s="1" t="str">
        <x:v>RT-20260512-R004</x:v>
      </x:c>
      <x:c r="M72" s="1" t="str">
        <x:v>07:20</x:v>
      </x:c>
      <x:c r="N72" s="1" t="str">
        <x:v>07:34</x:v>
      </x:c>
      <x:c r="O72" s="1" t="n">
        <x:v>14</x:v>
      </x:c>
      <x:c r="P72" s="5" t="n">
        <x:f>ROUND(X72+Y72,2)</x:f>
        <x:v>46.05</x:v>
      </x:c>
      <x:c r="Q72" s="5" t="n">
        <x:f>ROUND(P72/Vehiculos!$E$5*Vehiculos!$F$5,2)</x:f>
        <x:v>167.21</x:v>
      </x:c>
      <x:c r="R72" s="1" t="str">
        <x:v>Entregado</x:v>
      </x:c>
      <x:c r="S72" s="1" t="str">
        <x:v>Media</x:v>
      </x:c>
      <x:c r="T72" s="1" t="n">
        <x:v>1</x:v>
      </x:c>
      <x:c r="U72" s="1" t="n">
        <x:v>1</x:v>
      </x:c>
      <x:c r="V72" s="5" t="n">
        <x:v>2252.22</x:v>
      </x:c>
      <x:c r="W72" s="1" t="str">
        <x:v>08:50</x:v>
      </x:c>
      <x:c r="X72" s="1" t="n">
        <x:v>4.85</x:v>
      </x:c>
      <x:c r="Y72" s="1" t="n">
        <x:f>Parametros_Operacion!$B$7*1</x:f>
        <x:v>41.2</x:v>
      </x:c>
    </x:row>
    <x:row r="73">
      <x:c r="A73" s="1" t="str">
        <x:v>P0123</x:v>
      </x:c>
      <x:c r="B73" s="6" t="n">
        <x:v>46154.32638888889</x:v>
      </x:c>
      <x:c r="C73" s="1" t="str">
        <x:v>C048</x:v>
      </x:c>
      <x:c r="D73" s="1" t="str">
        <x:v>Pulpería El Buen Vecino</x:v>
      </x:c>
      <x:c r="E73" s="1" t="str">
        <x:v>La Masica</x:v>
      </x:c>
      <x:c r="F73" s="7" t="n">
        <x:v>15.62472152688023</x:v>
      </x:c>
      <x:c r="G73" s="7" t="n">
        <x:v>-86.69651578294237</x:v>
      </x:c>
      <x:c r="H73" s="1" t="str">
        <x:v>R004</x:v>
      </x:c>
      <x:c r="I73" s="1" t="str">
        <x:v>Daniela Cruz</x:v>
      </x:c>
      <x:c r="J73" s="1" t="str">
        <x:v>V004</x:v>
      </x:c>
      <x:c r="K73" s="1" t="str">
        <x:v>Pickup con carrocería</x:v>
      </x:c>
      <x:c r="L73" s="1" t="str">
        <x:v>RT-20260512-R004</x:v>
      </x:c>
      <x:c r="M73" s="1" t="str">
        <x:v>07:34</x:v>
      </x:c>
      <x:c r="N73" s="1" t="str">
        <x:v>07:50</x:v>
      </x:c>
      <x:c r="O73" s="1" t="n">
        <x:v>16</x:v>
      </x:c>
      <x:c r="P73" s="5" t="n">
        <x:f>ROUND(X73+Y73,2)</x:f>
        <x:v>49.31</x:v>
      </x:c>
      <x:c r="Q73" s="5" t="n">
        <x:f>ROUND(P73/Vehiculos!$E$5*Vehiculos!$F$5,2)</x:f>
        <x:v>179.04</x:v>
      </x:c>
      <x:c r="R73" s="1" t="str">
        <x:v>Entregado</x:v>
      </x:c>
      <x:c r="S73" s="1" t="str">
        <x:v>Baja</x:v>
      </x:c>
      <x:c r="T73" s="1" t="n">
        <x:v>2</x:v>
      </x:c>
      <x:c r="U73" s="1" t="n">
        <x:v>2</x:v>
      </x:c>
      <x:c r="V73" s="5" t="n">
        <x:v>3535.53</x:v>
      </x:c>
      <x:c r="W73" s="1" t="str">
        <x:v>09:30</x:v>
      </x:c>
      <x:c r="X73" s="1" t="n">
        <x:v>8.11</x:v>
      </x:c>
      <x:c r="Y73" s="1" t="n">
        <x:f>Parametros_Operacion!$B$7*1</x:f>
        <x:v>41.2</x:v>
      </x:c>
    </x:row>
    <x:row r="74">
      <x:c r="A74" s="1" t="str">
        <x:v>P0121</x:v>
      </x:c>
      <x:c r="B74" s="6" t="n">
        <x:v>46154.34652777778</x:v>
      </x:c>
      <x:c r="C74" s="1" t="str">
        <x:v>C008</x:v>
      </x:c>
      <x:c r="D74" s="1" t="str">
        <x:v>Pulpería El Buen Vecino</x:v>
      </x:c>
      <x:c r="E74" s="1" t="str">
        <x:v>Esparta</x:v>
      </x:c>
      <x:c r="F74" s="7" t="n">
        <x:v>15.66265280736854</x:v>
      </x:c>
      <x:c r="G74" s="7" t="n">
        <x:v>-87.25434499998507</x:v>
      </x:c>
      <x:c r="H74" s="1" t="str">
        <x:v>R007</x:v>
      </x:c>
      <x:c r="I74" s="1" t="str">
        <x:v>María Hernández</x:v>
      </x:c>
      <x:c r="J74" s="1" t="str">
        <x:v>V007</x:v>
      </x:c>
      <x:c r="K74" s="1" t="str">
        <x:v>Pickup con carrocería</x:v>
      </x:c>
      <x:c r="L74" s="1" t="str">
        <x:v>RT-20260512-R007</x:v>
      </x:c>
      <x:c r="M74" s="1" t="str">
        <x:v>08:08</x:v>
      </x:c>
      <x:c r="N74" s="1" t="str">
        <x:v>08:19</x:v>
      </x:c>
      <x:c r="O74" s="1" t="n">
        <x:v>11</x:v>
      </x:c>
      <x:c r="P74" s="5" t="n">
        <x:f>ROUND(X74+Y74,2)</x:f>
        <x:v>155.42</x:v>
      </x:c>
      <x:c r="Q74" s="5" t="n">
        <x:f>ROUND(P74/Vehiculos!$E$8*Vehiculos!$F$8,2)</x:f>
        <x:v>592.54</x:v>
      </x:c>
      <x:c r="R74" s="1" t="str">
        <x:v>Entregado</x:v>
      </x:c>
      <x:c r="S74" s="1" t="str">
        <x:v>Media</x:v>
      </x:c>
      <x:c r="T74" s="1" t="n">
        <x:v>1</x:v>
      </x:c>
      <x:c r="U74" s="1" t="n">
        <x:v>1</x:v>
      </x:c>
      <x:c r="V74" s="5" t="n">
        <x:v>2707.28</x:v>
      </x:c>
      <x:c r="W74" s="1" t="str">
        <x:v>08:50</x:v>
      </x:c>
      <x:c r="X74" s="1" t="n">
        <x:v>4.42</x:v>
      </x:c>
      <x:c r="Y74" s="1" t="n">
        <x:f>Parametros_Operacion!$B$4*2</x:f>
        <x:v>151</x:v>
      </x:c>
    </x:row>
    <x:row r="75">
      <x:c r="A75" s="1" t="str">
        <x:v>P0042</x:v>
      </x:c>
      <x:c r="B75" s="6" t="n">
        <x:v>46154.36944444444</x:v>
      </x:c>
      <x:c r="C75" s="1" t="str">
        <x:v>C046</x:v>
      </x:c>
      <x:c r="D75" s="1" t="str">
        <x:v>Abarrotería El Centro</x:v>
      </x:c>
      <x:c r="E75" s="1" t="str">
        <x:v>Tela</x:v>
      </x:c>
      <x:c r="F75" s="7" t="n">
        <x:v>15.75345936034755</x:v>
      </x:c>
      <x:c r="G75" s="7" t="n">
        <x:v>-87.43026035645514</x:v>
      </x:c>
      <x:c r="H75" s="1" t="str">
        <x:v>R002</x:v>
      </x:c>
      <x:c r="I75" s="1" t="str">
        <x:v>Ana López</x:v>
      </x:c>
      <x:c r="J75" s="1" t="str">
        <x:v>V002</x:v>
      </x:c>
      <x:c r="K75" s="1" t="str">
        <x:v>Pickup con carrocería</x:v>
      </x:c>
      <x:c r="L75" s="1" t="str">
        <x:v>RT-20260512-R002</x:v>
      </x:c>
      <x:c r="M75" s="1" t="str">
        <x:v>08:38</x:v>
      </x:c>
      <x:c r="N75" s="1" t="str">
        <x:v>08:52</x:v>
      </x:c>
      <x:c r="O75" s="1" t="n">
        <x:v>14</x:v>
      </x:c>
      <x:c r="P75" s="5" t="n">
        <x:f>ROUND(X75+Y75,2)</x:f>
        <x:v>106.95</x:v>
      </x:c>
      <x:c r="Q75" s="5" t="n">
        <x:f>ROUND(P75/Vehiculos!$E$3*Vehiculos!$F$3,2)</x:f>
        <x:v>388.33</x:v>
      </x:c>
      <x:c r="R75" s="1" t="str">
        <x:v>Retrasado</x:v>
      </x:c>
      <x:c r="S75" s="1" t="str">
        <x:v>Alta</x:v>
      </x:c>
      <x:c r="T75" s="1" t="n">
        <x:v>1</x:v>
      </x:c>
      <x:c r="U75" s="1" t="n">
        <x:v>1</x:v>
      </x:c>
      <x:c r="V75" s="5" t="n">
        <x:v>1895.64</x:v>
      </x:c>
      <x:c r="W75" s="1" t="str">
        <x:v>08:20</x:v>
      </x:c>
      <x:c r="X75" s="1" t="n">
        <x:v>4.65</x:v>
      </x:c>
      <x:c r="Y75" s="1" t="n">
        <x:f>Parametros_Operacion!$B$9*1</x:f>
        <x:v>102.3</x:v>
      </x:c>
    </x:row>
    <x:row r="76">
      <x:c r="A76" s="1" t="str">
        <x:v>P0031</x:v>
      </x:c>
      <x:c r="B76" s="6" t="n">
        <x:v>46154.38055555556</x:v>
      </x:c>
      <x:c r="C76" s="1" t="str">
        <x:v>C049</x:v>
      </x:c>
      <x:c r="D76" s="1" t="str">
        <x:v>Mini Súper El Triunfo</x:v>
      </x:c>
      <x:c r="E76" s="1" t="str">
        <x:v>Tela</x:v>
      </x:c>
      <x:c r="F76" s="7" t="n">
        <x:v>15.79873753732853</x:v>
      </x:c>
      <x:c r="G76" s="7" t="n">
        <x:v>-87.43821825866483</x:v>
      </x:c>
      <x:c r="H76" s="1" t="str">
        <x:v>R002</x:v>
      </x:c>
      <x:c r="I76" s="1" t="str">
        <x:v>Ana López</x:v>
      </x:c>
      <x:c r="J76" s="1" t="str">
        <x:v>V002</x:v>
      </x:c>
      <x:c r="K76" s="1" t="str">
        <x:v>Pickup con carrocería</x:v>
      </x:c>
      <x:c r="L76" s="1" t="str">
        <x:v>RT-20260512-R002</x:v>
      </x:c>
      <x:c r="M76" s="1" t="str">
        <x:v>08:52</x:v>
      </x:c>
      <x:c r="N76" s="1" t="str">
        <x:v>09:08</x:v>
      </x:c>
      <x:c r="O76" s="1" t="n">
        <x:v>16</x:v>
      </x:c>
      <x:c r="P76" s="5" t="n">
        <x:f>ROUND(X76+Y76,2)</x:f>
        <x:v>112.23</x:v>
      </x:c>
      <x:c r="Q76" s="5" t="n">
        <x:f>ROUND(P76/Vehiculos!$E$3*Vehiculos!$F$3,2)</x:f>
        <x:v>407.5</x:v>
      </x:c>
      <x:c r="R76" s="1" t="str">
        <x:v>Retrasado</x:v>
      </x:c>
      <x:c r="S76" s="1" t="str">
        <x:v>Alta</x:v>
      </x:c>
      <x:c r="T76" s="1" t="n">
        <x:v>2</x:v>
      </x:c>
      <x:c r="U76" s="1" t="n">
        <x:v>2</x:v>
      </x:c>
      <x:c r="V76" s="5" t="n">
        <x:v>1594.37</x:v>
      </x:c>
      <x:c r="W76" s="1" t="str">
        <x:v>08:20</x:v>
      </x:c>
      <x:c r="X76" s="1" t="n">
        <x:v>9.93</x:v>
      </x:c>
      <x:c r="Y76" s="1" t="n">
        <x:f>Parametros_Operacion!$B$9*1</x:f>
        <x:v>102.3</x:v>
      </x:c>
    </x:row>
    <x:row r="77">
      <x:c r="A77" s="1" t="str">
        <x:v>P0106</x:v>
      </x:c>
      <x:c r="B77" s="6" t="n">
        <x:v>46155.305555555555</x:v>
      </x:c>
      <x:c r="C77" s="1" t="str">
        <x:v>C005</x:v>
      </x:c>
      <x:c r="D77" s="1" t="str">
        <x:v>Mini Market San José</x:v>
      </x:c>
      <x:c r="E77" s="1" t="str">
        <x:v>Jutiapa</x:v>
      </x:c>
      <x:c r="F77" s="7" t="n">
        <x:v>15.65312640811745</x:v>
      </x:c>
      <x:c r="G77" s="7" t="n">
        <x:v>-86.21601876891951</x:v>
      </x:c>
      <x:c r="H77" s="1" t="str">
        <x:v>R003</x:v>
      </x:c>
      <x:c r="I77" s="1" t="str">
        <x:v>Luis Ramírez</x:v>
      </x:c>
      <x:c r="J77" s="1" t="str">
        <x:v>V003</x:v>
      </x:c>
      <x:c r="K77" s="1" t="str">
        <x:v>Pickup con carrocería</x:v>
      </x:c>
      <x:c r="L77" s="1" t="str">
        <x:v>RT-20260513-R003</x:v>
      </x:c>
      <x:c r="M77" s="1" t="str">
        <x:v>07:10</x:v>
      </x:c>
      <x:c r="N77" s="1" t="str">
        <x:v>07:20</x:v>
      </x:c>
      <x:c r="O77" s="1" t="n">
        <x:v>10</x:v>
      </x:c>
      <x:c r="P77" s="5" t="n">
        <x:f>ROUND(X77+Y77,2)</x:f>
        <x:v>65.94</x:v>
      </x:c>
      <x:c r="Q77" s="5" t="n">
        <x:f>ROUND(P77/Vehiculos!$E$4*Vehiculos!$F$4,2)</x:f>
        <x:v>251.4</x:v>
      </x:c>
      <x:c r="R77" s="1" t="str">
        <x:v>Entregado</x:v>
      </x:c>
      <x:c r="S77" s="1" t="str">
        <x:v>Media</x:v>
      </x:c>
      <x:c r="T77" s="1" t="n">
        <x:v>1</x:v>
      </x:c>
      <x:c r="U77" s="1" t="n">
        <x:v>1</x:v>
      </x:c>
      <x:c r="V77" s="5" t="n">
        <x:v>3789.59</x:v>
      </x:c>
      <x:c r="W77" s="1" t="str">
        <x:v>08:50</x:v>
      </x:c>
      <x:c r="X77" s="1" t="n">
        <x:v>3.14</x:v>
      </x:c>
      <x:c r="Y77" s="1" t="n">
        <x:f>Parametros_Operacion!$B$5*2</x:f>
        <x:v>62.8</x:v>
      </x:c>
    </x:row>
    <x:row r="78">
      <x:c r="A78" s="1" t="str">
        <x:v>P0103</x:v>
      </x:c>
      <x:c r="B78" s="6" t="n">
        <x:v>46155.31319444445</x:v>
      </x:c>
      <x:c r="C78" s="1" t="str">
        <x:v>C054</x:v>
      </x:c>
      <x:c r="D78" s="1" t="str">
        <x:v>Abarrotería San Miguel</x:v>
      </x:c>
      <x:c r="E78" s="1" t="str">
        <x:v>San Francisco</x:v>
      </x:c>
      <x:c r="F78" s="7" t="n">
        <x:v>15.63625968512296</x:v>
      </x:c>
      <x:c r="G78" s="7" t="n">
        <x:v>-87.01103338715818</x:v>
      </x:c>
      <x:c r="H78" s="1" t="str">
        <x:v>R005</x:v>
      </x:c>
      <x:c r="I78" s="1" t="str">
        <x:v>José Martínez</x:v>
      </x:c>
      <x:c r="J78" s="1" t="str">
        <x:v>V005</x:v>
      </x:c>
      <x:c r="K78" s="1" t="str">
        <x:v>Camión pequeño</x:v>
      </x:c>
      <x:c r="L78" s="1" t="str">
        <x:v>RT-20260513-R005</x:v>
      </x:c>
      <x:c r="M78" s="1" t="str">
        <x:v>07:19</x:v>
      </x:c>
      <x:c r="N78" s="1" t="str">
        <x:v>07:31</x:v>
      </x:c>
      <x:c r="O78" s="1" t="n">
        <x:v>12</x:v>
      </x:c>
      <x:c r="P78" s="5" t="n">
        <x:f>ROUND(X78+Y78,2)</x:f>
        <x:v>75.5</x:v>
      </x:c>
      <x:c r="Q78" s="5" t="n">
        <x:f>ROUND(P78/Vehiculos!$E$6*Vehiculos!$F$6,2)</x:f>
        <x:v>359.81</x:v>
      </x:c>
      <x:c r="R78" s="1" t="str">
        <x:v>Entregado</x:v>
      </x:c>
      <x:c r="S78" s="1" t="str">
        <x:v>Alta</x:v>
      </x:c>
      <x:c r="T78" s="1" t="n">
        <x:v>1</x:v>
      </x:c>
      <x:c r="U78" s="1" t="n">
        <x:v>1</x:v>
      </x:c>
      <x:c r="V78" s="5" t="n">
        <x:v>3005.75</x:v>
      </x:c>
      <x:c r="W78" s="1" t="str">
        <x:v>08:20</x:v>
      </x:c>
      <x:c r="X78" s="1" t="n">
        <x:v>5.5</x:v>
      </x:c>
      <x:c r="Y78" s="1" t="n">
        <x:f>Parametros_Operacion!$B$8*2</x:f>
        <x:v>70</x:v>
      </x:c>
    </x:row>
    <x:row r="79">
      <x:c r="A79" s="1" t="str">
        <x:v>P0117</x:v>
      </x:c>
      <x:c r="B79" s="6" t="n">
        <x:v>46155.31458333333</x:v>
      </x:c>
      <x:c r="C79" s="1" t="str">
        <x:v>C012</x:v>
      </x:c>
      <x:c r="D79" s="1" t="str">
        <x:v>Mini Súper Atlántida</x:v>
      </x:c>
      <x:c r="E79" s="1" t="str">
        <x:v>La Masica</x:v>
      </x:c>
      <x:c r="F79" s="7" t="n">
        <x:v>15.61789367249307</x:v>
      </x:c>
      <x:c r="G79" s="7" t="n">
        <x:v>-86.73642461377005</x:v>
      </x:c>
      <x:c r="H79" s="1" t="str">
        <x:v>R004</x:v>
      </x:c>
      <x:c r="I79" s="1" t="str">
        <x:v>Daniela Cruz</x:v>
      </x:c>
      <x:c r="J79" s="1" t="str">
        <x:v>V004</x:v>
      </x:c>
      <x:c r="K79" s="1" t="str">
        <x:v>Pickup con carrocería</x:v>
      </x:c>
      <x:c r="L79" s="1" t="str">
        <x:v>RT-20260513-R004</x:v>
      </x:c>
      <x:c r="M79" s="1" t="str">
        <x:v>07:20</x:v>
      </x:c>
      <x:c r="N79" s="1" t="str">
        <x:v>07:33</x:v>
      </x:c>
      <x:c r="O79" s="1" t="n">
        <x:v>13</x:v>
      </x:c>
      <x:c r="P79" s="5" t="n">
        <x:f>ROUND(X79+Y79,2)</x:f>
        <x:v>44.99</x:v>
      </x:c>
      <x:c r="Q79" s="5" t="n">
        <x:f>ROUND(P79/Vehiculos!$E$5*Vehiculos!$F$5,2)</x:f>
        <x:v>163.36</x:v>
      </x:c>
      <x:c r="R79" s="1" t="str">
        <x:v>Entregado</x:v>
      </x:c>
      <x:c r="S79" s="1" t="str">
        <x:v>Alta</x:v>
      </x:c>
      <x:c r="T79" s="1" t="n">
        <x:v>1</x:v>
      </x:c>
      <x:c r="U79" s="1" t="n">
        <x:v>1</x:v>
      </x:c>
      <x:c r="V79" s="5" t="n">
        <x:v>4601.26</x:v>
      </x:c>
      <x:c r="W79" s="1" t="str">
        <x:v>08:20</x:v>
      </x:c>
      <x:c r="X79" s="1" t="n">
        <x:v>3.79</x:v>
      </x:c>
      <x:c r="Y79" s="1" t="n">
        <x:f>Parametros_Operacion!$B$7*1</x:f>
        <x:v>41.2</x:v>
      </x:c>
    </x:row>
    <x:row r="80">
      <x:c r="A80" s="1" t="str">
        <x:v>P0071</x:v>
      </x:c>
      <x:c r="B80" s="6" t="n">
        <x:v>46155.32152777778</x:v>
      </x:c>
      <x:c r="C80" s="1" t="str">
        <x:v>C004</x:v>
      </x:c>
      <x:c r="D80" s="1" t="str">
        <x:v>Comercial Rivera</x:v>
      </x:c>
      <x:c r="E80" s="1" t="str">
        <x:v>La Masica</x:v>
      </x:c>
      <x:c r="F80" s="7" t="n">
        <x:v>15.60892338902915</x:v>
      </x:c>
      <x:c r="G80" s="7" t="n">
        <x:v>-86.73871508090915</x:v>
      </x:c>
      <x:c r="H80" s="1" t="str">
        <x:v>R004</x:v>
      </x:c>
      <x:c r="I80" s="1" t="str">
        <x:v>Daniela Cruz</x:v>
      </x:c>
      <x:c r="J80" s="1" t="str">
        <x:v>V004</x:v>
      </x:c>
      <x:c r="K80" s="1" t="str">
        <x:v>Pickup con carrocería</x:v>
      </x:c>
      <x:c r="L80" s="1" t="str">
        <x:v>RT-20260513-R004</x:v>
      </x:c>
      <x:c r="M80" s="1" t="str">
        <x:v>07:33</x:v>
      </x:c>
      <x:c r="N80" s="1" t="str">
        <x:v>07:43</x:v>
      </x:c>
      <x:c r="O80" s="1" t="n">
        <x:v>10</x:v>
      </x:c>
      <x:c r="P80" s="5" t="n">
        <x:f>ROUND(X80+Y80,2)</x:f>
        <x:v>1.28</x:v>
      </x:c>
      <x:c r="Q80" s="5" t="n">
        <x:f>ROUND(P80/Vehiculos!$E$5*Vehiculos!$F$5,2)</x:f>
        <x:v>4.65</x:v>
      </x:c>
      <x:c r="R80" s="1" t="str">
        <x:v>Entregado</x:v>
      </x:c>
      <x:c r="S80" s="1" t="str">
        <x:v>Media</x:v>
      </x:c>
      <x:c r="T80" s="1" t="n">
        <x:v>2</x:v>
      </x:c>
      <x:c r="U80" s="1" t="n">
        <x:v>2</x:v>
      </x:c>
      <x:c r="V80" s="5" t="n">
        <x:v>3862.18</x:v>
      </x:c>
      <x:c r="W80" s="1" t="str">
        <x:v>08:50</x:v>
      </x:c>
      <x:c r="X80" s="1" t="n">
        <x:v>1.28</x:v>
      </x:c>
      <x:c r="Y80" s="1" t="n">
        <x:f>Parametros_Operacion!$B$7*0</x:f>
        <x:v>0</x:v>
      </x:c>
    </x:row>
    <x:row r="81">
      <x:c r="A81" s="1" t="str">
        <x:v>P0101</x:v>
      </x:c>
      <x:c r="B81" s="6" t="n">
        <x:v>46155.33194444444</x:v>
      </x:c>
      <x:c r="C81" s="1" t="str">
        <x:v>C035</x:v>
      </x:c>
      <x:c r="D81" s="1" t="str">
        <x:v>Comercial El Progreso</x:v>
      </x:c>
      <x:c r="E81" s="1" t="str">
        <x:v>La Masica</x:v>
      </x:c>
      <x:c r="F81" s="7" t="n">
        <x:v>15.62206912424701</x:v>
      </x:c>
      <x:c r="G81" s="7" t="n">
        <x:v>-86.6956589389744</x:v>
      </x:c>
      <x:c r="H81" s="1" t="str">
        <x:v>R004</x:v>
      </x:c>
      <x:c r="I81" s="1" t="str">
        <x:v>Daniela Cruz</x:v>
      </x:c>
      <x:c r="J81" s="1" t="str">
        <x:v>V004</x:v>
      </x:c>
      <x:c r="K81" s="1" t="str">
        <x:v>Pickup con carrocería</x:v>
      </x:c>
      <x:c r="L81" s="1" t="str">
        <x:v>RT-20260513-R004</x:v>
      </x:c>
      <x:c r="M81" s="1" t="str">
        <x:v>07:43</x:v>
      </x:c>
      <x:c r="N81" s="1" t="str">
        <x:v>07:58</x:v>
      </x:c>
      <x:c r="O81" s="1" t="n">
        <x:v>15</x:v>
      </x:c>
      <x:c r="P81" s="5" t="n">
        <x:f>ROUND(X81+Y81,2)</x:f>
        <x:v>49.15</x:v>
      </x:c>
      <x:c r="Q81" s="5" t="n">
        <x:f>ROUND(P81/Vehiculos!$E$5*Vehiculos!$F$5,2)</x:f>
        <x:v>178.46</x:v>
      </x:c>
      <x:c r="R81" s="1" t="str">
        <x:v>Entregado</x:v>
      </x:c>
      <x:c r="S81" s="1" t="str">
        <x:v>Baja</x:v>
      </x:c>
      <x:c r="T81" s="1" t="n">
        <x:v>3</x:v>
      </x:c>
      <x:c r="U81" s="1" t="n">
        <x:v>3</x:v>
      </x:c>
      <x:c r="V81" s="5" t="n">
        <x:v>803.29</x:v>
      </x:c>
      <x:c r="W81" s="1" t="str">
        <x:v>09:30</x:v>
      </x:c>
      <x:c r="X81" s="1" t="n">
        <x:v>7.95</x:v>
      </x:c>
      <x:c r="Y81" s="1" t="n">
        <x:f>Parametros_Operacion!$B$7*1</x:f>
        <x:v>41.2</x:v>
      </x:c>
    </x:row>
    <x:row r="82">
      <x:c r="A82" s="1" t="str">
        <x:v>P0135</x:v>
      </x:c>
      <x:c r="B82" s="6" t="n">
        <x:v>46155.347916666666</x:v>
      </x:c>
      <x:c r="C82" s="1" t="str">
        <x:v>C029</x:v>
      </x:c>
      <x:c r="D82" s="1" t="str">
        <x:v>Mini Súper El Triunfo</x:v>
      </x:c>
      <x:c r="E82" s="1" t="str">
        <x:v>Esparta</x:v>
      </x:c>
      <x:c r="F82" s="7" t="n">
        <x:v>15.67954455979815</x:v>
      </x:c>
      <x:c r="G82" s="7" t="n">
        <x:v>-87.27057452130482</x:v>
      </x:c>
      <x:c r="H82" s="1" t="str">
        <x:v>R007</x:v>
      </x:c>
      <x:c r="I82" s="1" t="str">
        <x:v>María Hernández</x:v>
      </x:c>
      <x:c r="J82" s="1" t="str">
        <x:v>V007</x:v>
      </x:c>
      <x:c r="K82" s="1" t="str">
        <x:v>Pickup con carrocería</x:v>
      </x:c>
      <x:c r="L82" s="1" t="str">
        <x:v>RT-20260513-R007</x:v>
      </x:c>
      <x:c r="M82" s="1" t="str">
        <x:v>08:08</x:v>
      </x:c>
      <x:c r="N82" s="1" t="str">
        <x:v>08:21</x:v>
      </x:c>
      <x:c r="O82" s="1" t="n">
        <x:v>13</x:v>
      </x:c>
      <x:c r="P82" s="5" t="n">
        <x:f>ROUND(X82+Y82,2)</x:f>
        <x:v>157.96</x:v>
      </x:c>
      <x:c r="Q82" s="5" t="n">
        <x:f>ROUND(P82/Vehiculos!$E$8*Vehiculos!$F$8,2)</x:f>
        <x:v>602.23</x:v>
      </x:c>
      <x:c r="R82" s="1" t="str">
        <x:v>Entregado</x:v>
      </x:c>
      <x:c r="S82" s="1" t="str">
        <x:v>Media</x:v>
      </x:c>
      <x:c r="T82" s="1" t="n">
        <x:v>1</x:v>
      </x:c>
      <x:c r="U82" s="1" t="n">
        <x:v>1</x:v>
      </x:c>
      <x:c r="V82" s="5" t="n">
        <x:v>3573.49</x:v>
      </x:c>
      <x:c r="W82" s="1" t="str">
        <x:v>08:50</x:v>
      </x:c>
      <x:c r="X82" s="1" t="n">
        <x:v>6.96</x:v>
      </x:c>
      <x:c r="Y82" s="1" t="n">
        <x:f>Parametros_Operacion!$B$4*2</x:f>
        <x:v>151</x:v>
      </x:c>
    </x:row>
    <x:row r="83">
      <x:c r="A83" s="1" t="str">
        <x:v>P0086</x:v>
      </x:c>
      <x:c r="B83" s="6" t="n">
        <x:v>46156.279861111114</x:v>
      </x:c>
      <x:c r="C83" s="1" t="str">
        <x:v>C058</x:v>
      </x:c>
      <x:c r="D83" s="1" t="str">
        <x:v>Comercial Caribe</x:v>
      </x:c>
      <x:c r="E83" s="1" t="str">
        <x:v>La Ceiba</x:v>
      </x:c>
      <x:c r="F83" s="7" t="n">
        <x:v>15.78884920671411</x:v>
      </x:c>
      <x:c r="G83" s="7" t="n">
        <x:v>-86.81633991045354</x:v>
      </x:c>
      <x:c r="H83" s="1" t="str">
        <x:v>R001</x:v>
      </x:c>
      <x:c r="I83" s="1" t="str">
        <x:v>Carlos Mejía</x:v>
      </x:c>
      <x:c r="J83" s="1" t="str">
        <x:v>V001</x:v>
      </x:c>
      <x:c r="K83" s="1" t="str">
        <x:v>Pickup con carrocería</x:v>
      </x:c>
      <x:c r="L83" s="1" t="str">
        <x:v>RT-20260514-R001</x:v>
      </x:c>
      <x:c r="M83" s="1" t="str">
        <x:v>06:30</x:v>
      </x:c>
      <x:c r="N83" s="1" t="str">
        <x:v>06:43</x:v>
      </x:c>
      <x:c r="O83" s="1" t="n">
        <x:v>13</x:v>
      </x:c>
      <x:c r="P83" s="5" t="n">
        <x:f>ROUND(X83+Y83,2)</x:f>
        <x:v>3.99</x:v>
      </x:c>
      <x:c r="Q83" s="5" t="n">
        <x:f>ROUND(P83/Vehiculos!$E$2*Vehiculos!$F$2,2)</x:f>
        <x:v>13.83</x:v>
      </x:c>
      <x:c r="R83" s="1" t="str">
        <x:v>Entregado</x:v>
      </x:c>
      <x:c r="S83" s="1" t="str">
        <x:v>Baja</x:v>
      </x:c>
      <x:c r="T83" s="1" t="n">
        <x:v>1</x:v>
      </x:c>
      <x:c r="U83" s="1" t="n">
        <x:v>1</x:v>
      </x:c>
      <x:c r="V83" s="5" t="n">
        <x:v>3055.82</x:v>
      </x:c>
      <x:c r="W83" s="1" t="str">
        <x:v>09:30</x:v>
      </x:c>
      <x:c r="X83" s="1" t="n">
        <x:v>3.99</x:v>
      </x:c>
      <x:c r="Y83" s="1" t="n">
        <x:f>Parametros_Operacion!$B$6*0</x:f>
        <x:v>0</x:v>
      </x:c>
    </x:row>
    <x:row r="84">
      <x:c r="A84" s="1" t="str">
        <x:v>P0144</x:v>
      </x:c>
      <x:c r="B84" s="6" t="n">
        <x:v>46156.285416666666</x:v>
      </x:c>
      <x:c r="C84" s="1" t="str">
        <x:v>C058</x:v>
      </x:c>
      <x:c r="D84" s="1" t="str">
        <x:v>Comercial Caribe</x:v>
      </x:c>
      <x:c r="E84" s="1" t="str">
        <x:v>La Ceiba</x:v>
      </x:c>
      <x:c r="F84" s="7" t="n">
        <x:v>15.78884920671411</x:v>
      </x:c>
      <x:c r="G84" s="7" t="n">
        <x:v>-86.81633991045354</x:v>
      </x:c>
      <x:c r="H84" s="1" t="str">
        <x:v>R001</x:v>
      </x:c>
      <x:c r="I84" s="1" t="str">
        <x:v>Carlos Mejía</x:v>
      </x:c>
      <x:c r="J84" s="1" t="str">
        <x:v>V001</x:v>
      </x:c>
      <x:c r="K84" s="1" t="str">
        <x:v>Pickup con carrocería</x:v>
      </x:c>
      <x:c r="L84" s="1" t="str">
        <x:v>RT-20260514-R001</x:v>
      </x:c>
      <x:c r="M84" s="1" t="str">
        <x:v>06:43</x:v>
      </x:c>
      <x:c r="N84" s="1" t="str">
        <x:v>06:51</x:v>
      </x:c>
      <x:c r="O84" s="1" t="n">
        <x:v>8</x:v>
      </x:c>
      <x:c r="P84" s="5" t="n">
        <x:f>ROUND(X84+Y84,2)</x:f>
        <x:v>0</x:v>
      </x:c>
      <x:c r="Q84" s="5" t="n">
        <x:f>ROUND(P84/Vehiculos!$E$2*Vehiculos!$F$2,2)</x:f>
        <x:v>0</x:v>
      </x:c>
      <x:c r="R84" s="1" t="str">
        <x:v>Entregado</x:v>
      </x:c>
      <x:c r="S84" s="1" t="str">
        <x:v>Media</x:v>
      </x:c>
      <x:c r="T84" s="1" t="n">
        <x:v>2</x:v>
      </x:c>
      <x:c r="U84" s="1" t="n">
        <x:v>2</x:v>
      </x:c>
      <x:c r="V84" s="5" t="n">
        <x:v>4064.5</x:v>
      </x:c>
      <x:c r="W84" s="1" t="str">
        <x:v>08:50</x:v>
      </x:c>
      <x:c r="X84" s="1" t="n">
        <x:v>0</x:v>
      </x:c>
      <x:c r="Y84" s="1" t="n">
        <x:f>Parametros_Operacion!$B$6*0</x:f>
        <x:v>0</x:v>
      </x:c>
    </x:row>
    <x:row r="85">
      <x:c r="A85" s="1" t="str">
        <x:v>P0022</x:v>
      </x:c>
      <x:c r="B85" s="6" t="n">
        <x:v>46156.291666666664</x:v>
      </x:c>
      <x:c r="C85" s="1" t="str">
        <x:v>C020</x:v>
      </x:c>
      <x:c r="D85" s="1" t="str">
        <x:v>Mercadito La Familia</x:v>
      </x:c>
      <x:c r="E85" s="1" t="str">
        <x:v>La Ceiba</x:v>
      </x:c>
      <x:c r="F85" s="7" t="n">
        <x:v>15.78142376519329</x:v>
      </x:c>
      <x:c r="G85" s="7" t="n">
        <x:v>-86.81607163140897</x:v>
      </x:c>
      <x:c r="H85" s="1" t="str">
        <x:v>R001</x:v>
      </x:c>
      <x:c r="I85" s="1" t="str">
        <x:v>Carlos Mejía</x:v>
      </x:c>
      <x:c r="J85" s="1" t="str">
        <x:v>V001</x:v>
      </x:c>
      <x:c r="K85" s="1" t="str">
        <x:v>Pickup con carrocería</x:v>
      </x:c>
      <x:c r="L85" s="1" t="str">
        <x:v>RT-20260514-R001</x:v>
      </x:c>
      <x:c r="M85" s="1" t="str">
        <x:v>06:51</x:v>
      </x:c>
      <x:c r="N85" s="1" t="str">
        <x:v>07:00</x:v>
      </x:c>
      <x:c r="O85" s="1" t="n">
        <x:v>9</x:v>
      </x:c>
      <x:c r="P85" s="5" t="n">
        <x:f>ROUND(X85+Y85,2)</x:f>
        <x:v>4.27</x:v>
      </x:c>
      <x:c r="Q85" s="5" t="n">
        <x:f>ROUND(P85/Vehiculos!$E$2*Vehiculos!$F$2,2)</x:f>
        <x:v>14.8</x:v>
      </x:c>
      <x:c r="R85" s="1" t="str">
        <x:v>Entregado</x:v>
      </x:c>
      <x:c r="S85" s="1" t="str">
        <x:v>Media</x:v>
      </x:c>
      <x:c r="T85" s="1" t="n">
        <x:v>3</x:v>
      </x:c>
      <x:c r="U85" s="1" t="n">
        <x:v>3</x:v>
      </x:c>
      <x:c r="V85" s="5" t="n">
        <x:v>3916.25</x:v>
      </x:c>
      <x:c r="W85" s="1" t="str">
        <x:v>08:50</x:v>
      </x:c>
      <x:c r="X85" s="1" t="n">
        <x:v>4.27</x:v>
      </x:c>
      <x:c r="Y85" s="1" t="n">
        <x:f>Parametros_Operacion!$B$6*0</x:f>
        <x:v>0</x:v>
      </x:c>
    </x:row>
    <x:row r="86">
      <x:c r="A86" s="1" t="str">
        <x:v>P0146</x:v>
      </x:c>
      <x:c r="B86" s="6" t="n">
        <x:v>46156.29583333333</x:v>
      </x:c>
      <x:c r="C86" s="1" t="str">
        <x:v>C036</x:v>
      </x:c>
      <x:c r="D86" s="1" t="str">
        <x:v>Pulpería Los Amigos</x:v>
      </x:c>
      <x:c r="E86" s="1" t="str">
        <x:v>El Porvenir</x:v>
      </x:c>
      <x:c r="F86" s="7" t="n">
        <x:v>15.73514406884404</x:v>
      </x:c>
      <x:c r="G86" s="7" t="n">
        <x:v>-86.860694251453</x:v>
      </x:c>
      <x:c r="H86" s="1" t="str">
        <x:v>R008</x:v>
      </x:c>
      <x:c r="I86" s="1" t="str">
        <x:v>Jorge Castro</x:v>
      </x:c>
      <x:c r="J86" s="1" t="str">
        <x:v>V008</x:v>
      </x:c>
      <x:c r="K86" s="1" t="str">
        <x:v>Camión pequeño</x:v>
      </x:c>
      <x:c r="L86" s="1" t="str">
        <x:v>RT-20260514-R008</x:v>
      </x:c>
      <x:c r="M86" s="1" t="str">
        <x:v>06:54</x:v>
      </x:c>
      <x:c r="N86" s="1" t="str">
        <x:v>07:06</x:v>
      </x:c>
      <x:c r="O86" s="1" t="n">
        <x:v>12</x:v>
      </x:c>
      <x:c r="P86" s="5" t="n">
        <x:f>ROUND(X86+Y86,2)</x:f>
        <x:v>19.16</x:v>
      </x:c>
      <x:c r="Q86" s="5" t="n">
        <x:f>ROUND(P86/Vehiculos!$E$9*Vehiculos!$F$9,2)</x:f>
        <x:v>97.4</x:v>
      </x:c>
      <x:c r="R86" s="1" t="str">
        <x:v>Entregado</x:v>
      </x:c>
      <x:c r="S86" s="1" t="str">
        <x:v>Media</x:v>
      </x:c>
      <x:c r="T86" s="1" t="n">
        <x:v>1</x:v>
      </x:c>
      <x:c r="U86" s="1" t="n">
        <x:v>1</x:v>
      </x:c>
      <x:c r="V86" s="5" t="n">
        <x:v>3459.67</x:v>
      </x:c>
      <x:c r="W86" s="1" t="str">
        <x:v>08:50</x:v>
      </x:c>
      <x:c r="X86" s="1" t="n">
        <x:v>2.66</x:v>
      </x:c>
      <x:c r="Y86" s="1" t="n">
        <x:f>Parametros_Operacion!$B$3*1</x:f>
        <x:v>16.5</x:v>
      </x:c>
    </x:row>
    <x:row r="87">
      <x:c r="A87" s="1" t="str">
        <x:v>P0116</x:v>
      </x:c>
      <x:c r="B87" s="6" t="n">
        <x:v>46156.30138888889</x:v>
      </x:c>
      <x:c r="C87" s="1" t="str">
        <x:v>C036</x:v>
      </x:c>
      <x:c r="D87" s="1" t="str">
        <x:v>Pulpería Los Amigos</x:v>
      </x:c>
      <x:c r="E87" s="1" t="str">
        <x:v>El Porvenir</x:v>
      </x:c>
      <x:c r="F87" s="7" t="n">
        <x:v>15.73514406884404</x:v>
      </x:c>
      <x:c r="G87" s="7" t="n">
        <x:v>-86.860694251453</x:v>
      </x:c>
      <x:c r="H87" s="1" t="str">
        <x:v>R008</x:v>
      </x:c>
      <x:c r="I87" s="1" t="str">
        <x:v>Jorge Castro</x:v>
      </x:c>
      <x:c r="J87" s="1" t="str">
        <x:v>V008</x:v>
      </x:c>
      <x:c r="K87" s="1" t="str">
        <x:v>Camión pequeño</x:v>
      </x:c>
      <x:c r="L87" s="1" t="str">
        <x:v>RT-20260514-R008</x:v>
      </x:c>
      <x:c r="M87" s="1" t="str">
        <x:v>07:06</x:v>
      </x:c>
      <x:c r="N87" s="1" t="str">
        <x:v>07:14</x:v>
      </x:c>
      <x:c r="O87" s="1" t="n">
        <x:v>8</x:v>
      </x:c>
      <x:c r="P87" s="5" t="n">
        <x:f>ROUND(X87+Y87,2)</x:f>
        <x:v>19.16</x:v>
      </x:c>
      <x:c r="Q87" s="5" t="n">
        <x:f>ROUND(P87/Vehiculos!$E$9*Vehiculos!$F$9,2)</x:f>
        <x:v>97.4</x:v>
      </x:c>
      <x:c r="R87" s="1" t="str">
        <x:v>Entregado</x:v>
      </x:c>
      <x:c r="S87" s="1" t="str">
        <x:v>Media</x:v>
      </x:c>
      <x:c r="T87" s="1" t="n">
        <x:v>2</x:v>
      </x:c>
      <x:c r="U87" s="1" t="n">
        <x:v>2</x:v>
      </x:c>
      <x:c r="V87" s="5" t="n">
        <x:v>5707.92</x:v>
      </x:c>
      <x:c r="W87" s="1" t="str">
        <x:v>08:50</x:v>
      </x:c>
      <x:c r="X87" s="1" t="n">
        <x:v>2.66</x:v>
      </x:c>
      <x:c r="Y87" s="1" t="n">
        <x:f>Parametros_Operacion!$B$3*1</x:f>
        <x:v>16.5</x:v>
      </x:c>
    </x:row>
    <x:row r="88">
      <x:c r="A88" s="1" t="str">
        <x:v>P0133</x:v>
      </x:c>
      <x:c r="B88" s="6" t="n">
        <x:v>46156.30625</x:v>
      </x:c>
      <x:c r="C88" s="1" t="str">
        <x:v>C051</x:v>
      </x:c>
      <x:c r="D88" s="1" t="str">
        <x:v>Pulpería La Esperanza</x:v>
      </x:c>
      <x:c r="E88" s="1" t="str">
        <x:v>Jutiapa</x:v>
      </x:c>
      <x:c r="F88" s="7" t="n">
        <x:v>15.64757132645944</x:v>
      </x:c>
      <x:c r="G88" s="7" t="n">
        <x:v>-86.23647664495304</x:v>
      </x:c>
      <x:c r="H88" s="1" t="str">
        <x:v>R003</x:v>
      </x:c>
      <x:c r="I88" s="1" t="str">
        <x:v>Luis Ramírez</x:v>
      </x:c>
      <x:c r="J88" s="1" t="str">
        <x:v>V003</x:v>
      </x:c>
      <x:c r="K88" s="1" t="str">
        <x:v>Pickup con carrocería</x:v>
      </x:c>
      <x:c r="L88" s="1" t="str">
        <x:v>RT-20260514-R003</x:v>
      </x:c>
      <x:c r="M88" s="1" t="str">
        <x:v>07:10</x:v>
      </x:c>
      <x:c r="N88" s="1" t="str">
        <x:v>07:21</x:v>
      </x:c>
      <x:c r="O88" s="1" t="n">
        <x:v>11</x:v>
      </x:c>
      <x:c r="P88" s="5" t="n">
        <x:f>ROUND(X88+Y88,2)</x:f>
        <x:v>68.04</x:v>
      </x:c>
      <x:c r="Q88" s="5" t="n">
        <x:f>ROUND(P88/Vehiculos!$E$4*Vehiculos!$F$4,2)</x:f>
        <x:v>259.4</x:v>
      </x:c>
      <x:c r="R88" s="1" t="str">
        <x:v>Entregado</x:v>
      </x:c>
      <x:c r="S88" s="1" t="str">
        <x:v>Media</x:v>
      </x:c>
      <x:c r="T88" s="1" t="n">
        <x:v>1</x:v>
      </x:c>
      <x:c r="U88" s="1" t="n">
        <x:v>1</x:v>
      </x:c>
      <x:c r="V88" s="5" t="n">
        <x:v>3859.79</x:v>
      </x:c>
      <x:c r="W88" s="1" t="str">
        <x:v>08:50</x:v>
      </x:c>
      <x:c r="X88" s="1" t="n">
        <x:v>5.24</x:v>
      </x:c>
      <x:c r="Y88" s="1" t="n">
        <x:f>Parametros_Operacion!$B$5*2</x:f>
        <x:v>62.8</x:v>
      </x:c>
    </x:row>
    <x:row r="89">
      <x:c r="A89" s="1" t="str">
        <x:v>P0078</x:v>
      </x:c>
      <x:c r="B89" s="6" t="n">
        <x:v>46156.31319444445</x:v>
      </x:c>
      <x:c r="C89" s="1" t="str">
        <x:v>C003</x:v>
      </x:c>
      <x:c r="D89" s="1" t="str">
        <x:v>Supermercado Rafael</x:v>
      </x:c>
      <x:c r="E89" s="1" t="str">
        <x:v>San Francisco</x:v>
      </x:c>
      <x:c r="F89" s="7" t="n">
        <x:v>15.64049383890165</x:v>
      </x:c>
      <x:c r="G89" s="7" t="n">
        <x:v>-86.97798878026339</x:v>
      </x:c>
      <x:c r="H89" s="1" t="str">
        <x:v>R005</x:v>
      </x:c>
      <x:c r="I89" s="1" t="str">
        <x:v>José Martínez</x:v>
      </x:c>
      <x:c r="J89" s="1" t="str">
        <x:v>V005</x:v>
      </x:c>
      <x:c r="K89" s="1" t="str">
        <x:v>Camión pequeño</x:v>
      </x:c>
      <x:c r="L89" s="1" t="str">
        <x:v>RT-20260514-R005</x:v>
      </x:c>
      <x:c r="M89" s="1" t="str">
        <x:v>07:19</x:v>
      </x:c>
      <x:c r="N89" s="1" t="str">
        <x:v>07:31</x:v>
      </x:c>
      <x:c r="O89" s="1" t="n">
        <x:v>12</x:v>
      </x:c>
      <x:c r="P89" s="5" t="n">
        <x:f>ROUND(X89+Y89,2)</x:f>
        <x:v>75.68</x:v>
      </x:c>
      <x:c r="Q89" s="5" t="n">
        <x:f>ROUND(P89/Vehiculos!$E$6*Vehiculos!$F$6,2)</x:f>
        <x:v>360.67</x:v>
      </x:c>
      <x:c r="R89" s="1" t="str">
        <x:v>Entregado</x:v>
      </x:c>
      <x:c r="S89" s="1" t="str">
        <x:v>Media</x:v>
      </x:c>
      <x:c r="T89" s="1" t="n">
        <x:v>1</x:v>
      </x:c>
      <x:c r="U89" s="1" t="n">
        <x:v>1</x:v>
      </x:c>
      <x:c r="V89" s="5" t="n">
        <x:v>5741.55</x:v>
      </x:c>
      <x:c r="W89" s="1" t="str">
        <x:v>08:50</x:v>
      </x:c>
      <x:c r="X89" s="1" t="n">
        <x:v>5.68</x:v>
      </x:c>
      <x:c r="Y89" s="1" t="n">
        <x:f>Parametros_Operacion!$B$8*2</x:f>
        <x:v>70</x:v>
      </x:c>
    </x:row>
    <x:row r="90">
      <x:c r="A90" s="1" t="str">
        <x:v>P0115</x:v>
      </x:c>
      <x:c r="B90" s="6" t="n">
        <x:v>46156.313888888886</x:v>
      </x:c>
      <x:c r="C90" s="1" t="str">
        <x:v>C015</x:v>
      </x:c>
      <x:c r="D90" s="1" t="str">
        <x:v>Comercial El Progreso</x:v>
      </x:c>
      <x:c r="E90" s="1" t="str">
        <x:v>La Masica</x:v>
      </x:c>
      <x:c r="F90" s="7" t="n">
        <x:v>15.6223364219448</x:v>
      </x:c>
      <x:c r="G90" s="7" t="n">
        <x:v>-86.68490080801452</x:v>
      </x:c>
      <x:c r="H90" s="1" t="str">
        <x:v>R004</x:v>
      </x:c>
      <x:c r="I90" s="1" t="str">
        <x:v>Daniela Cruz</x:v>
      </x:c>
      <x:c r="J90" s="1" t="str">
        <x:v>V004</x:v>
      </x:c>
      <x:c r="K90" s="1" t="str">
        <x:v>Pickup con carrocería</x:v>
      </x:c>
      <x:c r="L90" s="1" t="str">
        <x:v>RT-20260514-R004</x:v>
      </x:c>
      <x:c r="M90" s="1" t="str">
        <x:v>07:20</x:v>
      </x:c>
      <x:c r="N90" s="1" t="str">
        <x:v>07:32</x:v>
      </x:c>
      <x:c r="O90" s="1" t="n">
        <x:v>12</x:v>
      </x:c>
      <x:c r="P90" s="5" t="n">
        <x:f>ROUND(X90+Y90,2)</x:f>
        <x:v>89</x:v>
      </x:c>
      <x:c r="Q90" s="5" t="n">
        <x:f>ROUND(P90/Vehiculos!$E$5*Vehiculos!$F$5,2)</x:f>
        <x:v>323.16</x:v>
      </x:c>
      <x:c r="R90" s="1" t="str">
        <x:v>Entregado</x:v>
      </x:c>
      <x:c r="S90" s="1" t="str">
        <x:v>Media</x:v>
      </x:c>
      <x:c r="T90" s="1" t="n">
        <x:v>1</x:v>
      </x:c>
      <x:c r="U90" s="1" t="n">
        <x:v>1</x:v>
      </x:c>
      <x:c r="V90" s="5" t="n">
        <x:v>2075.04</x:v>
      </x:c>
      <x:c r="W90" s="1" t="str">
        <x:v>08:50</x:v>
      </x:c>
      <x:c r="X90" s="1" t="n">
        <x:v>6.6</x:v>
      </x:c>
      <x:c r="Y90" s="1" t="n">
        <x:f>Parametros_Operacion!$B$7*2</x:f>
        <x:v>82.4</x:v>
      </x:c>
    </x:row>
    <x:row r="91">
      <x:c r="A91" s="1" t="str">
        <x:v>P0065</x:v>
      </x:c>
      <x:c r="B91" s="6" t="n">
        <x:v>46156.34444444445</x:v>
      </x:c>
      <x:c r="C91" s="1" t="str">
        <x:v>C039</x:v>
      </x:c>
      <x:c r="D91" s="1" t="str">
        <x:v>Pulpería El Centroamericano</x:v>
      </x:c>
      <x:c r="E91" s="1" t="str">
        <x:v>Arizona</x:v>
      </x:c>
      <x:c r="F91" s="7" t="n">
        <x:v>15.60052974847786</x:v>
      </x:c>
      <x:c r="G91" s="7" t="n">
        <x:v>-87.3798685955568</x:v>
      </x:c>
      <x:c r="H91" s="1" t="str">
        <x:v>R006</x:v>
      </x:c>
      <x:c r="I91" s="1" t="str">
        <x:v>Kevin Flores</x:v>
      </x:c>
      <x:c r="J91" s="1" t="str">
        <x:v>V006</x:v>
      </x:c>
      <x:c r="K91" s="1" t="str">
        <x:v>Pickup con carrocería</x:v>
      </x:c>
      <x:c r="L91" s="1" t="str">
        <x:v>RT-20260514-R006</x:v>
      </x:c>
      <x:c r="M91" s="1" t="str">
        <x:v>08:03</x:v>
      </x:c>
      <x:c r="N91" s="1" t="str">
        <x:v>08:16</x:v>
      </x:c>
      <x:c r="O91" s="1" t="n">
        <x:v>13</x:v>
      </x:c>
      <x:c r="P91" s="5" t="n">
        <x:f>ROUND(X91+Y91,2)</x:f>
        <x:v>152.16</x:v>
      </x:c>
      <x:c r="Q91" s="5" t="n">
        <x:f>ROUND(P91/Vehiculos!$E$7*Vehiculos!$F$7,2)</x:f>
        <x:v>580.11</x:v>
      </x:c>
      <x:c r="R91" s="1" t="str">
        <x:v>Entregado</x:v>
      </x:c>
      <x:c r="S91" s="1" t="str">
        <x:v>Alta</x:v>
      </x:c>
      <x:c r="T91" s="1" t="n">
        <x:v>1</x:v>
      </x:c>
      <x:c r="U91" s="1" t="n">
        <x:v>1</x:v>
      </x:c>
      <x:c r="V91" s="5" t="n">
        <x:v>2103.89</x:v>
      </x:c>
      <x:c r="W91" s="1" t="str">
        <x:v>08:20</x:v>
      </x:c>
      <x:c r="X91" s="1" t="n">
        <x:v>7.16</x:v>
      </x:c>
      <x:c r="Y91" s="1" t="n">
        <x:f>Parametros_Operacion!$B$2*2</x:f>
        <x:v>145</x:v>
      </x:c>
    </x:row>
    <x:row r="92">
      <x:c r="A92" s="1" t="str">
        <x:v>P0092</x:v>
      </x:c>
      <x:c r="B92" s="6" t="n">
        <x:v>46156.36875</x:v>
      </x:c>
      <x:c r="C92" s="1" t="str">
        <x:v>C013</x:v>
      </x:c>
      <x:c r="D92" s="1" t="str">
        <x:v>Mercadito Doña Marta</x:v>
      </x:c>
      <x:c r="E92" s="1" t="str">
        <x:v>Tela</x:v>
      </x:c>
      <x:c r="F92" s="7" t="n">
        <x:v>15.75505922402737</x:v>
      </x:c>
      <x:c r="G92" s="7" t="n">
        <x:v>-87.47373987089004</x:v>
      </x:c>
      <x:c r="H92" s="1" t="str">
        <x:v>R002</x:v>
      </x:c>
      <x:c r="I92" s="1" t="str">
        <x:v>Ana López</x:v>
      </x:c>
      <x:c r="J92" s="1" t="str">
        <x:v>V002</x:v>
      </x:c>
      <x:c r="K92" s="1" t="str">
        <x:v>Pickup con carrocería</x:v>
      </x:c>
      <x:c r="L92" s="1" t="str">
        <x:v>RT-20260514-R002</x:v>
      </x:c>
      <x:c r="M92" s="1" t="str">
        <x:v>08:38</x:v>
      </x:c>
      <x:c r="N92" s="1" t="str">
        <x:v>08:51</x:v>
      </x:c>
      <x:c r="O92" s="1" t="n">
        <x:v>13</x:v>
      </x:c>
      <x:c r="P92" s="5" t="n">
        <x:f>ROUND(X92+Y92,2)</x:f>
        <x:v>212.94</x:v>
      </x:c>
      <x:c r="Q92" s="5" t="n">
        <x:f>ROUND(P92/Vehiculos!$E$3*Vehiculos!$F$3,2)</x:f>
        <x:v>773.18</x:v>
      </x:c>
      <x:c r="R92" s="1" t="str">
        <x:v>Entregado</x:v>
      </x:c>
      <x:c r="S92" s="1" t="str">
        <x:v>Baja</x:v>
      </x:c>
      <x:c r="T92" s="1" t="n">
        <x:v>1</x:v>
      </x:c>
      <x:c r="U92" s="1" t="n">
        <x:v>1</x:v>
      </x:c>
      <x:c r="V92" s="5" t="n">
        <x:v>3469.1</x:v>
      </x:c>
      <x:c r="W92" s="1" t="str">
        <x:v>09:30</x:v>
      </x:c>
      <x:c r="X92" s="1" t="n">
        <x:v>8.34</x:v>
      </x:c>
      <x:c r="Y92" s="1" t="n">
        <x:f>Parametros_Operacion!$B$9*2</x:f>
        <x:v>204.6</x:v>
      </x:c>
    </x:row>
    <x:row r="93">
      <x:c r="A93" s="1" t="str">
        <x:v>P0097</x:v>
      </x:c>
      <x:c r="B93" s="6" t="n">
        <x:v>46157.28055555555</x:v>
      </x:c>
      <x:c r="C93" s="1" t="str">
        <x:v>C053</x:v>
      </x:c>
      <x:c r="D93" s="1" t="str">
        <x:v>Mercadito Doña Marta</x:v>
      </x:c>
      <x:c r="E93" s="1" t="str">
        <x:v>La Ceiba</x:v>
      </x:c>
      <x:c r="F93" s="7" t="n">
        <x:v>15.74017612525048</x:v>
      </x:c>
      <x:c r="G93" s="7" t="n">
        <x:v>-86.8181117726974</x:v>
      </x:c>
      <x:c r="H93" s="1" t="str">
        <x:v>R001</x:v>
      </x:c>
      <x:c r="I93" s="1" t="str">
        <x:v>Carlos Mejía</x:v>
      </x:c>
      <x:c r="J93" s="1" t="str">
        <x:v>V001</x:v>
      </x:c>
      <x:c r="K93" s="1" t="str">
        <x:v>Pickup con carrocería</x:v>
      </x:c>
      <x:c r="L93" s="1" t="str">
        <x:v>RT-20260515-R001</x:v>
      </x:c>
      <x:c r="M93" s="1" t="str">
        <x:v>06:30</x:v>
      </x:c>
      <x:c r="N93" s="1" t="str">
        <x:v>06:44</x:v>
      </x:c>
      <x:c r="O93" s="1" t="n">
        <x:v>14</x:v>
      </x:c>
      <x:c r="P93" s="5" t="n">
        <x:f>ROUND(X93+Y93,2)</x:f>
        <x:v>4.66</x:v>
      </x:c>
      <x:c r="Q93" s="5" t="n">
        <x:f>ROUND(P93/Vehiculos!$E$2*Vehiculos!$F$2,2)</x:f>
        <x:v>16.15</x:v>
      </x:c>
      <x:c r="R93" s="1" t="str">
        <x:v>Entregado</x:v>
      </x:c>
      <x:c r="S93" s="1" t="str">
        <x:v>Alta</x:v>
      </x:c>
      <x:c r="T93" s="1" t="n">
        <x:v>1</x:v>
      </x:c>
      <x:c r="U93" s="1" t="n">
        <x:v>1</x:v>
      </x:c>
      <x:c r="V93" s="5" t="n">
        <x:v>4178.66</x:v>
      </x:c>
      <x:c r="W93" s="1" t="str">
        <x:v>08:20</x:v>
      </x:c>
      <x:c r="X93" s="1" t="n">
        <x:v>4.66</x:v>
      </x:c>
      <x:c r="Y93" s="1" t="n">
        <x:f>Parametros_Operacion!$B$6*0</x:f>
        <x:v>0</x:v>
      </x:c>
    </x:row>
    <x:row r="94">
      <x:c r="A94" s="1" t="str">
        <x:v>P0125</x:v>
      </x:c>
      <x:c r="B94" s="6" t="n">
        <x:v>46157.28958333333</x:v>
      </x:c>
      <x:c r="C94" s="1" t="str">
        <x:v>C041</x:v>
      </x:c>
      <x:c r="D94" s="1" t="str">
        <x:v>Pulpería Oseguera</x:v>
      </x:c>
      <x:c r="E94" s="1" t="str">
        <x:v>La Ceiba</x:v>
      </x:c>
      <x:c r="F94" s="7" t="n">
        <x:v>15.77279131084483</x:v>
      </x:c>
      <x:c r="G94" s="7" t="n">
        <x:v>-86.81479599652472</x:v>
      </x:c>
      <x:c r="H94" s="1" t="str">
        <x:v>R001</x:v>
      </x:c>
      <x:c r="I94" s="1" t="str">
        <x:v>Carlos Mejía</x:v>
      </x:c>
      <x:c r="J94" s="1" t="str">
        <x:v>V001</x:v>
      </x:c>
      <x:c r="K94" s="1" t="str">
        <x:v>Pickup con carrocería</x:v>
      </x:c>
      <x:c r="L94" s="1" t="str">
        <x:v>RT-20260515-R001</x:v>
      </x:c>
      <x:c r="M94" s="1" t="str">
        <x:v>06:44</x:v>
      </x:c>
      <x:c r="N94" s="1" t="str">
        <x:v>06:57</x:v>
      </x:c>
      <x:c r="O94" s="1" t="n">
        <x:v>13</x:v>
      </x:c>
      <x:c r="P94" s="5" t="n">
        <x:f>ROUND(X94+Y94,2)</x:f>
        <x:v>7.05</x:v>
      </x:c>
      <x:c r="Q94" s="5" t="n">
        <x:f>ROUND(P94/Vehiculos!$E$2*Vehiculos!$F$2,2)</x:f>
        <x:v>24.43</x:v>
      </x:c>
      <x:c r="R94" s="1" t="str">
        <x:v>Entregado</x:v>
      </x:c>
      <x:c r="S94" s="1" t="str">
        <x:v>Baja</x:v>
      </x:c>
      <x:c r="T94" s="1" t="n">
        <x:v>2</x:v>
      </x:c>
      <x:c r="U94" s="1" t="n">
        <x:v>2</x:v>
      </x:c>
      <x:c r="V94" s="5" t="n">
        <x:v>2127.67</x:v>
      </x:c>
      <x:c r="W94" s="1" t="str">
        <x:v>09:30</x:v>
      </x:c>
      <x:c r="X94" s="1" t="n">
        <x:v>7.05</x:v>
      </x:c>
      <x:c r="Y94" s="1" t="n">
        <x:f>Parametros_Operacion!$B$6*0</x:f>
        <x:v>0</x:v>
      </x:c>
    </x:row>
    <x:row r="95">
      <x:c r="A95" s="1" t="str">
        <x:v>P0037</x:v>
      </x:c>
      <x:c r="B95" s="6" t="n">
        <x:v>46157.3125</x:v>
      </x:c>
      <x:c r="C95" s="1" t="str">
        <x:v>C035</x:v>
      </x:c>
      <x:c r="D95" s="1" t="str">
        <x:v>Comercial El Progreso</x:v>
      </x:c>
      <x:c r="E95" s="1" t="str">
        <x:v>La Masica</x:v>
      </x:c>
      <x:c r="F95" s="7" t="n">
        <x:v>15.62206912424701</x:v>
      </x:c>
      <x:c r="G95" s="7" t="n">
        <x:v>-86.6956589389744</x:v>
      </x:c>
      <x:c r="H95" s="1" t="str">
        <x:v>R004</x:v>
      </x:c>
      <x:c r="I95" s="1" t="str">
        <x:v>Daniela Cruz</x:v>
      </x:c>
      <x:c r="J95" s="1" t="str">
        <x:v>V004</x:v>
      </x:c>
      <x:c r="K95" s="1" t="str">
        <x:v>Pickup con carrocería</x:v>
      </x:c>
      <x:c r="L95" s="1" t="str">
        <x:v>RT-20260515-R004</x:v>
      </x:c>
      <x:c r="M95" s="1" t="str">
        <x:v>07:20</x:v>
      </x:c>
      <x:c r="N95" s="1" t="str">
        <x:v>07:30</x:v>
      </x:c>
      <x:c r="O95" s="1" t="n">
        <x:v>10</x:v>
      </x:c>
      <x:c r="P95" s="5" t="n">
        <x:f>ROUND(X95+Y95,2)</x:f>
        <x:v>43.1</x:v>
      </x:c>
      <x:c r="Q95" s="5" t="n">
        <x:f>ROUND(P95/Vehiculos!$E$5*Vehiculos!$F$5,2)</x:f>
        <x:v>156.5</x:v>
      </x:c>
      <x:c r="R95" s="1" t="str">
        <x:v>Entregado</x:v>
      </x:c>
      <x:c r="S95" s="1" t="str">
        <x:v>Media</x:v>
      </x:c>
      <x:c r="T95" s="1" t="n">
        <x:v>1</x:v>
      </x:c>
      <x:c r="U95" s="1" t="n">
        <x:v>1</x:v>
      </x:c>
      <x:c r="V95" s="5" t="n">
        <x:v>3552.49</x:v>
      </x:c>
      <x:c r="W95" s="1" t="str">
        <x:v>08:50</x:v>
      </x:c>
      <x:c r="X95" s="1" t="n">
        <x:v>1.9</x:v>
      </x:c>
      <x:c r="Y95" s="1" t="n">
        <x:f>Parametros_Operacion!$B$7*1</x:f>
        <x:v>41.2</x:v>
      </x:c>
    </x:row>
    <x:row r="96">
      <x:c r="A96" s="1" t="str">
        <x:v>P0025</x:v>
      </x:c>
      <x:c r="B96" s="6" t="n">
        <x:v>46157.31805555556</x:v>
      </x:c>
      <x:c r="C96" s="1" t="str">
        <x:v>C048</x:v>
      </x:c>
      <x:c r="D96" s="1" t="str">
        <x:v>Pulpería El Buen Vecino</x:v>
      </x:c>
      <x:c r="E96" s="1" t="str">
        <x:v>La Masica</x:v>
      </x:c>
      <x:c r="F96" s="7" t="n">
        <x:v>15.62472152688023</x:v>
      </x:c>
      <x:c r="G96" s="7" t="n">
        <x:v>-86.69651578294237</x:v>
      </x:c>
      <x:c r="H96" s="1" t="str">
        <x:v>R004</x:v>
      </x:c>
      <x:c r="I96" s="1" t="str">
        <x:v>Daniela Cruz</x:v>
      </x:c>
      <x:c r="J96" s="1" t="str">
        <x:v>V004</x:v>
      </x:c>
      <x:c r="K96" s="1" t="str">
        <x:v>Pickup con carrocería</x:v>
      </x:c>
      <x:c r="L96" s="1" t="str">
        <x:v>RT-20260515-R004</x:v>
      </x:c>
      <x:c r="M96" s="1" t="str">
        <x:v>07:30</x:v>
      </x:c>
      <x:c r="N96" s="1" t="str">
        <x:v>07:38</x:v>
      </x:c>
      <x:c r="O96" s="1" t="n">
        <x:v>8</x:v>
      </x:c>
      <x:c r="P96" s="5" t="n">
        <x:f>ROUND(X96+Y96,2)</x:f>
        <x:v>43.31</x:v>
      </x:c>
      <x:c r="Q96" s="5" t="n">
        <x:f>ROUND(P96/Vehiculos!$E$5*Vehiculos!$F$5,2)</x:f>
        <x:v>157.26</x:v>
      </x:c>
      <x:c r="R96" s="1" t="str">
        <x:v>Entregado</x:v>
      </x:c>
      <x:c r="S96" s="1" t="str">
        <x:v>Baja</x:v>
      </x:c>
      <x:c r="T96" s="1" t="n">
        <x:v>2</x:v>
      </x:c>
      <x:c r="U96" s="1" t="n">
        <x:v>2</x:v>
      </x:c>
      <x:c r="V96" s="5" t="n">
        <x:v>6839.01</x:v>
      </x:c>
      <x:c r="W96" s="1" t="str">
        <x:v>09:30</x:v>
      </x:c>
      <x:c r="X96" s="1" t="n">
        <x:v>2.11</x:v>
      </x:c>
      <x:c r="Y96" s="1" t="n">
        <x:f>Parametros_Operacion!$B$7*1</x:f>
        <x:v>41.2</x:v>
      </x:c>
    </x:row>
    <x:row r="97">
      <x:c r="A97" s="1" t="str">
        <x:v>P0126</x:v>
      </x:c>
      <x:c r="B97" s="6" t="n">
        <x:v>46157.36736111111</x:v>
      </x:c>
      <x:c r="C97" s="1" t="str">
        <x:v>C059</x:v>
      </x:c>
      <x:c r="D97" s="1" t="str">
        <x:v>Pulpería El Centroamericano</x:v>
      </x:c>
      <x:c r="E97" s="1" t="str">
        <x:v>Tela</x:v>
      </x:c>
      <x:c r="F97" s="7" t="n">
        <x:v>15.78985251396864</x:v>
      </x:c>
      <x:c r="G97" s="7" t="n">
        <x:v>-87.46255549737951</x:v>
      </x:c>
      <x:c r="H97" s="1" t="str">
        <x:v>R002</x:v>
      </x:c>
      <x:c r="I97" s="1" t="str">
        <x:v>Ana López</x:v>
      </x:c>
      <x:c r="J97" s="1" t="str">
        <x:v>V002</x:v>
      </x:c>
      <x:c r="K97" s="1" t="str">
        <x:v>Pickup con carrocería</x:v>
      </x:c>
      <x:c r="L97" s="1" t="str">
        <x:v>RT-20260515-R002</x:v>
      </x:c>
      <x:c r="M97" s="1" t="str">
        <x:v>08:38</x:v>
      </x:c>
      <x:c r="N97" s="1" t="str">
        <x:v>08:49</x:v>
      </x:c>
      <x:c r="O97" s="1" t="n">
        <x:v>11</x:v>
      </x:c>
      <x:c r="P97" s="5" t="n">
        <x:f>ROUND(X97+Y97,2)</x:f>
        <x:v>208.62</x:v>
      </x:c>
      <x:c r="Q97" s="5" t="n">
        <x:f>ROUND(P97/Vehiculos!$E$3*Vehiculos!$F$3,2)</x:f>
        <x:v>757.5</x:v>
      </x:c>
      <x:c r="R97" s="1" t="str">
        <x:v>Entregado</x:v>
      </x:c>
      <x:c r="S97" s="1" t="str">
        <x:v>Media</x:v>
      </x:c>
      <x:c r="T97" s="1" t="n">
        <x:v>1</x:v>
      </x:c>
      <x:c r="U97" s="1" t="n">
        <x:v>1</x:v>
      </x:c>
      <x:c r="V97" s="5" t="n">
        <x:v>4039.33</x:v>
      </x:c>
      <x:c r="W97" s="1" t="str">
        <x:v>08:50</x:v>
      </x:c>
      <x:c r="X97" s="1" t="n">
        <x:v>4.02</x:v>
      </x:c>
      <x:c r="Y97" s="1" t="n">
        <x:f>Parametros_Operacion!$B$9*2</x:f>
        <x:v>204.6</x:v>
      </x:c>
    </x:row>
    <x:row r="98">
      <x:c r="A98" s="1" t="str">
        <x:v>P0111</x:v>
      </x:c>
      <x:c r="B98" s="6" t="n">
        <x:v>46158.27847222222</x:v>
      </x:c>
      <x:c r="C98" s="1" t="str">
        <x:v>C027</x:v>
      </x:c>
      <x:c r="D98" s="1" t="str">
        <x:v>Distribuidora El Faro</x:v>
      </x:c>
      <x:c r="E98" s="1" t="str">
        <x:v>La Ceiba</x:v>
      </x:c>
      <x:c r="F98" s="7" t="n">
        <x:v>15.76803685728729</x:v>
      </x:c>
      <x:c r="G98" s="7" t="n">
        <x:v>-86.77768801221002</x:v>
      </x:c>
      <x:c r="H98" s="1" t="str">
        <x:v>R001</x:v>
      </x:c>
      <x:c r="I98" s="1" t="str">
        <x:v>Carlos Mejía</x:v>
      </x:c>
      <x:c r="J98" s="1" t="str">
        <x:v>V001</x:v>
      </x:c>
      <x:c r="K98" s="1" t="str">
        <x:v>Pickup con carrocería</x:v>
      </x:c>
      <x:c r="L98" s="1" t="str">
        <x:v>RT-20260516-R001</x:v>
      </x:c>
      <x:c r="M98" s="1" t="str">
        <x:v>06:30</x:v>
      </x:c>
      <x:c r="N98" s="1" t="str">
        <x:v>06:41</x:v>
      </x:c>
      <x:c r="O98" s="1" t="n">
        <x:v>11</x:v>
      </x:c>
      <x:c r="P98" s="5" t="n">
        <x:f>ROUND(X98+Y98,2)</x:f>
        <x:v>5.2</x:v>
      </x:c>
      <x:c r="Q98" s="5" t="n">
        <x:f>ROUND(P98/Vehiculos!$E$2*Vehiculos!$F$2,2)</x:f>
        <x:v>18.02</x:v>
      </x:c>
      <x:c r="R98" s="1" t="str">
        <x:v>Entregado</x:v>
      </x:c>
      <x:c r="S98" s="1" t="str">
        <x:v>Media</x:v>
      </x:c>
      <x:c r="T98" s="1" t="n">
        <x:v>1</x:v>
      </x:c>
      <x:c r="U98" s="1" t="n">
        <x:v>1</x:v>
      </x:c>
      <x:c r="V98" s="5" t="n">
        <x:v>1653.24</x:v>
      </x:c>
      <x:c r="W98" s="1" t="str">
        <x:v>08:50</x:v>
      </x:c>
      <x:c r="X98" s="1" t="n">
        <x:v>5.2</x:v>
      </x:c>
      <x:c r="Y98" s="1" t="n">
        <x:f>Parametros_Operacion!$B$6*0</x:f>
        <x:v>0</x:v>
      </x:c>
    </x:row>
    <x:row r="99">
      <x:c r="A99" s="1" t="str">
        <x:v>P0137</x:v>
      </x:c>
      <x:c r="B99" s="6" t="n">
        <x:v>46158.31319444445</x:v>
      </x:c>
      <x:c r="C99" s="1" t="str">
        <x:v>C047</x:v>
      </x:c>
      <x:c r="D99" s="1" t="str">
        <x:v>Distribuidora El Faro</x:v>
      </x:c>
      <x:c r="E99" s="1" t="str">
        <x:v>La Masica</x:v>
      </x:c>
      <x:c r="F99" s="7" t="n">
        <x:v>15.62139902522154</x:v>
      </x:c>
      <x:c r="G99" s="7" t="n">
        <x:v>-86.69038794424819</x:v>
      </x:c>
      <x:c r="H99" s="1" t="str">
        <x:v>R004</x:v>
      </x:c>
      <x:c r="I99" s="1" t="str">
        <x:v>Daniela Cruz</x:v>
      </x:c>
      <x:c r="J99" s="1" t="str">
        <x:v>V004</x:v>
      </x:c>
      <x:c r="K99" s="1" t="str">
        <x:v>Pickup con carrocería</x:v>
      </x:c>
      <x:c r="L99" s="1" t="str">
        <x:v>RT-20260516-R004</x:v>
      </x:c>
      <x:c r="M99" s="1" t="str">
        <x:v>07:20</x:v>
      </x:c>
      <x:c r="N99" s="1" t="str">
        <x:v>07:31</x:v>
      </x:c>
      <x:c r="O99" s="1" t="n">
        <x:v>11</x:v>
      </x:c>
      <x:c r="P99" s="5" t="n">
        <x:f>ROUND(X99+Y99,2)</x:f>
        <x:v>43.81</x:v>
      </x:c>
      <x:c r="Q99" s="5" t="n">
        <x:f>ROUND(P99/Vehiculos!$E$5*Vehiculos!$F$5,2)</x:f>
        <x:v>159.07</x:v>
      </x:c>
      <x:c r="R99" s="1" t="str">
        <x:v>Entregado</x:v>
      </x:c>
      <x:c r="S99" s="1" t="str">
        <x:v>Baja</x:v>
      </x:c>
      <x:c r="T99" s="1" t="n">
        <x:v>1</x:v>
      </x:c>
      <x:c r="U99" s="1" t="n">
        <x:v>1</x:v>
      </x:c>
      <x:c r="V99" s="5" t="n">
        <x:v>4143.62</x:v>
      </x:c>
      <x:c r="W99" s="1" t="str">
        <x:v>09:30</x:v>
      </x:c>
      <x:c r="X99" s="1" t="n">
        <x:v>2.61</x:v>
      </x:c>
      <x:c r="Y99" s="1" t="n">
        <x:f>Parametros_Operacion!$B$7*1</x:f>
        <x:v>41.2</x:v>
      </x:c>
    </x:row>
    <x:row r="100">
      <x:c r="A100" s="1" t="str">
        <x:v>P0152</x:v>
      </x:c>
      <x:c r="B100" s="6" t="n">
        <x:v>46158.31319444445</x:v>
      </x:c>
      <x:c r="C100" s="1" t="str">
        <x:v>C054</x:v>
      </x:c>
      <x:c r="D100" s="1" t="str">
        <x:v>Abarrotería San Miguel</x:v>
      </x:c>
      <x:c r="E100" s="1" t="str">
        <x:v>San Francisco</x:v>
      </x:c>
      <x:c r="F100" s="7" t="n">
        <x:v>15.63625968512296</x:v>
      </x:c>
      <x:c r="G100" s="7" t="n">
        <x:v>-87.01103338715818</x:v>
      </x:c>
      <x:c r="H100" s="1" t="str">
        <x:v>R005</x:v>
      </x:c>
      <x:c r="I100" s="1" t="str">
        <x:v>José Martínez</x:v>
      </x:c>
      <x:c r="J100" s="1" t="str">
        <x:v>V005</x:v>
      </x:c>
      <x:c r="K100" s="1" t="str">
        <x:v>Camión pequeño</x:v>
      </x:c>
      <x:c r="L100" s="1" t="str">
        <x:v>RT-20260516-R005</x:v>
      </x:c>
      <x:c r="M100" s="1" t="str">
        <x:v>07:19</x:v>
      </x:c>
      <x:c r="N100" s="1" t="str">
        <x:v>07:31</x:v>
      </x:c>
      <x:c r="O100" s="1" t="n">
        <x:v>12</x:v>
      </x:c>
      <x:c r="P100" s="5" t="n">
        <x:f>ROUND(X100+Y100,2)</x:f>
        <x:v>75.5</x:v>
      </x:c>
      <x:c r="Q100" s="5" t="n">
        <x:f>ROUND(P100/Vehiculos!$E$6*Vehiculos!$F$6,2)</x:f>
        <x:v>359.81</x:v>
      </x:c>
      <x:c r="R100" s="1" t="str">
        <x:v>Entregado</x:v>
      </x:c>
      <x:c r="S100" s="1" t="str">
        <x:v>Media</x:v>
      </x:c>
      <x:c r="T100" s="1" t="n">
        <x:v>1</x:v>
      </x:c>
      <x:c r="U100" s="1" t="n">
        <x:v>1</x:v>
      </x:c>
      <x:c r="V100" s="5" t="n">
        <x:v>5462.86</x:v>
      </x:c>
      <x:c r="W100" s="1" t="str">
        <x:v>08:50</x:v>
      </x:c>
      <x:c r="X100" s="1" t="n">
        <x:v>5.5</x:v>
      </x:c>
      <x:c r="Y100" s="1" t="n">
        <x:f>Parametros_Operacion!$B$8*2</x:f>
        <x:v>70</x:v>
      </x:c>
    </x:row>
    <x:row r="101">
      <x:c r="A101" s="1" t="str">
        <x:v>P0154</x:v>
      </x:c>
      <x:c r="B101" s="6" t="n">
        <x:v>46158.32430555556</x:v>
      </x:c>
      <x:c r="C101" s="1" t="str">
        <x:v>C012</x:v>
      </x:c>
      <x:c r="D101" s="1" t="str">
        <x:v>Mini Súper Atlántida</x:v>
      </x:c>
      <x:c r="E101" s="1" t="str">
        <x:v>La Masica</x:v>
      </x:c>
      <x:c r="F101" s="7" t="n">
        <x:v>15.61789367249307</x:v>
      </x:c>
      <x:c r="G101" s="7" t="n">
        <x:v>-86.73642461377005</x:v>
      </x:c>
      <x:c r="H101" s="1" t="str">
        <x:v>R004</x:v>
      </x:c>
      <x:c r="I101" s="1" t="str">
        <x:v>Daniela Cruz</x:v>
      </x:c>
      <x:c r="J101" s="1" t="str">
        <x:v>V004</x:v>
      </x:c>
      <x:c r="K101" s="1" t="str">
        <x:v>Pickup con carrocería</x:v>
      </x:c>
      <x:c r="L101" s="1" t="str">
        <x:v>RT-20260516-R004</x:v>
      </x:c>
      <x:c r="M101" s="1" t="str">
        <x:v>07:31</x:v>
      </x:c>
      <x:c r="N101" s="1" t="str">
        <x:v>07:47</x:v>
      </x:c>
      <x:c r="O101" s="1" t="n">
        <x:v>16</x:v>
      </x:c>
      <x:c r="P101" s="5" t="n">
        <x:f>ROUND(X101+Y101,2)</x:f>
        <x:v>6.18</x:v>
      </x:c>
      <x:c r="Q101" s="5" t="n">
        <x:f>ROUND(P101/Vehiculos!$E$5*Vehiculos!$F$5,2)</x:f>
        <x:v>22.44</x:v>
      </x:c>
      <x:c r="R101" s="1" t="str">
        <x:v>Entregado</x:v>
      </x:c>
      <x:c r="S101" s="1" t="str">
        <x:v>Media</x:v>
      </x:c>
      <x:c r="T101" s="1" t="n">
        <x:v>2</x:v>
      </x:c>
      <x:c r="U101" s="1" t="n">
        <x:v>3</x:v>
      </x:c>
      <x:c r="V101" s="5" t="n">
        <x:v>4501.05</x:v>
      </x:c>
      <x:c r="W101" s="1" t="str">
        <x:v>08:50</x:v>
      </x:c>
      <x:c r="X101" s="1" t="n">
        <x:v>6.18</x:v>
      </x:c>
      <x:c r="Y101" s="1" t="n">
        <x:f>Parametros_Operacion!$B$7*0</x:f>
        <x:v>0</x:v>
      </x:c>
    </x:row>
    <x:row r="102">
      <x:c r="A102" s="1" t="str">
        <x:v>P0107</x:v>
      </x:c>
      <x:c r="B102" s="6" t="n">
        <x:v>46158.33541666667</x:v>
      </x:c>
      <x:c r="C102" s="1" t="str">
        <x:v>C047</x:v>
      </x:c>
      <x:c r="D102" s="1" t="str">
        <x:v>Distribuidora El Faro</x:v>
      </x:c>
      <x:c r="E102" s="1" t="str">
        <x:v>La Masica</x:v>
      </x:c>
      <x:c r="F102" s="7" t="n">
        <x:v>15.62139902522154</x:v>
      </x:c>
      <x:c r="G102" s="7" t="n">
        <x:v>-86.69038794424819</x:v>
      </x:c>
      <x:c r="H102" s="1" t="str">
        <x:v>R004</x:v>
      </x:c>
      <x:c r="I102" s="1" t="str">
        <x:v>Daniela Cruz</x:v>
      </x:c>
      <x:c r="J102" s="1" t="str">
        <x:v>V004</x:v>
      </x:c>
      <x:c r="K102" s="1" t="str">
        <x:v>Pickup con carrocería</x:v>
      </x:c>
      <x:c r="L102" s="1" t="str">
        <x:v>RT-20260516-R004</x:v>
      </x:c>
      <x:c r="M102" s="1" t="str">
        <x:v>07:47</x:v>
      </x:c>
      <x:c r="N102" s="1" t="str">
        <x:v>08:03</x:v>
      </x:c>
      <x:c r="O102" s="1" t="n">
        <x:v>16</x:v>
      </x:c>
      <x:c r="P102" s="5" t="n">
        <x:f>ROUND(X102+Y102,2)</x:f>
        <x:v>49.99</x:v>
      </x:c>
      <x:c r="Q102" s="5" t="n">
        <x:f>ROUND(P102/Vehiculos!$E$5*Vehiculos!$F$5,2)</x:f>
        <x:v>181.51</x:v>
      </x:c>
      <x:c r="R102" s="1" t="str">
        <x:v>Entregado</x:v>
      </x:c>
      <x:c r="S102" s="1" t="str">
        <x:v>Media</x:v>
      </x:c>
      <x:c r="T102" s="1" t="n">
        <x:v>3</x:v>
      </x:c>
      <x:c r="U102" s="1" t="n">
        <x:v>2</x:v>
      </x:c>
      <x:c r="V102" s="5" t="n">
        <x:v>5738.57</x:v>
      </x:c>
      <x:c r="W102" s="1" t="str">
        <x:v>08:50</x:v>
      </x:c>
      <x:c r="X102" s="1" t="n">
        <x:v>8.79</x:v>
      </x:c>
      <x:c r="Y102" s="1" t="n">
        <x:f>Parametros_Operacion!$B$7*1</x:f>
        <x:v>41.2</x:v>
      </x:c>
    </x:row>
    <x:row r="103">
      <x:c r="A103" s="1" t="str">
        <x:v>P0150</x:v>
      </x:c>
      <x:c r="B103" s="6" t="n">
        <x:v>46158.347916666666</x:v>
      </x:c>
      <x:c r="C103" s="1" t="str">
        <x:v>C031</x:v>
      </x:c>
      <x:c r="D103" s="1" t="str">
        <x:v>Pulpería La Esperanza</x:v>
      </x:c>
      <x:c r="E103" s="1" t="str">
        <x:v>Esparta</x:v>
      </x:c>
      <x:c r="F103" s="7" t="n">
        <x:v>15.6329608041621</x:v>
      </x:c>
      <x:c r="G103" s="7" t="n">
        <x:v>-87.2835937878433</x:v>
      </x:c>
      <x:c r="H103" s="1" t="str">
        <x:v>R007</x:v>
      </x:c>
      <x:c r="I103" s="1" t="str">
        <x:v>María Hernández</x:v>
      </x:c>
      <x:c r="J103" s="1" t="str">
        <x:v>V007</x:v>
      </x:c>
      <x:c r="K103" s="1" t="str">
        <x:v>Pickup con carrocería</x:v>
      </x:c>
      <x:c r="L103" s="1" t="str">
        <x:v>RT-20260516-R007</x:v>
      </x:c>
      <x:c r="M103" s="1" t="str">
        <x:v>08:08</x:v>
      </x:c>
      <x:c r="N103" s="1" t="str">
        <x:v>08:21</x:v>
      </x:c>
      <x:c r="O103" s="1" t="n">
        <x:v>13</x:v>
      </x:c>
      <x:c r="P103" s="5" t="n">
        <x:f>ROUND(X103+Y103,2)</x:f>
        <x:v>158.24</x:v>
      </x:c>
      <x:c r="Q103" s="5" t="n">
        <x:f>ROUND(P103/Vehiculos!$E$8*Vehiculos!$F$8,2)</x:f>
        <x:v>603.29</x:v>
      </x:c>
      <x:c r="R103" s="1" t="str">
        <x:v>Entregado</x:v>
      </x:c>
      <x:c r="S103" s="1" t="str">
        <x:v>Baja</x:v>
      </x:c>
      <x:c r="T103" s="1" t="n">
        <x:v>1</x:v>
      </x:c>
      <x:c r="U103" s="1" t="n">
        <x:v>1</x:v>
      </x:c>
      <x:c r="V103" s="5" t="n">
        <x:v>5081.87</x:v>
      </x:c>
      <x:c r="W103" s="1" t="str">
        <x:v>09:30</x:v>
      </x:c>
      <x:c r="X103" s="1" t="n">
        <x:v>7.24</x:v>
      </x:c>
      <x:c r="Y103" s="1" t="n">
        <x:f>Parametros_Operacion!$B$4*2</x:f>
        <x:v>151</x:v>
      </x:c>
    </x:row>
    <x:row r="104">
      <x:c r="A104" s="1" t="str">
        <x:v>P0087</x:v>
      </x:c>
      <x:c r="B104" s="6" t="n">
        <x:v>46159.27847222222</x:v>
      </x:c>
      <x:c r="C104" s="1" t="str">
        <x:v>C041</x:v>
      </x:c>
      <x:c r="D104" s="1" t="str">
        <x:v>Pulpería Oseguera</x:v>
      </x:c>
      <x:c r="E104" s="1" t="str">
        <x:v>La Ceiba</x:v>
      </x:c>
      <x:c r="F104" s="7" t="n">
        <x:v>15.77279131084483</x:v>
      </x:c>
      <x:c r="G104" s="7" t="n">
        <x:v>-86.81479599652472</x:v>
      </x:c>
      <x:c r="H104" s="1" t="str">
        <x:v>R001</x:v>
      </x:c>
      <x:c r="I104" s="1" t="str">
        <x:v>Carlos Mejía</x:v>
      </x:c>
      <x:c r="J104" s="1" t="str">
        <x:v>V001</x:v>
      </x:c>
      <x:c r="K104" s="1" t="str">
        <x:v>Pickup con carrocería</x:v>
      </x:c>
      <x:c r="L104" s="1" t="str">
        <x:v>RT-20260517-R001</x:v>
      </x:c>
      <x:c r="M104" s="1" t="str">
        <x:v>06:30</x:v>
      </x:c>
      <x:c r="N104" s="1" t="str">
        <x:v>06:41</x:v>
      </x:c>
      <x:c r="O104" s="1" t="n">
        <x:v>11</x:v>
      </x:c>
      <x:c r="P104" s="5" t="n">
        <x:f>ROUND(X104+Y104,2)</x:f>
        <x:v>2.5</x:v>
      </x:c>
      <x:c r="Q104" s="5" t="n">
        <x:f>ROUND(P104/Vehiculos!$E$2*Vehiculos!$F$2,2)</x:f>
        <x:v>8.66</x:v>
      </x:c>
      <x:c r="R104" s="1" t="str">
        <x:v>Entregado</x:v>
      </x:c>
      <x:c r="S104" s="1" t="str">
        <x:v>Media</x:v>
      </x:c>
      <x:c r="T104" s="1" t="n">
        <x:v>1</x:v>
      </x:c>
      <x:c r="U104" s="1" t="n">
        <x:v>1</x:v>
      </x:c>
      <x:c r="V104" s="5" t="n">
        <x:v>5349.55</x:v>
      </x:c>
      <x:c r="W104" s="1" t="str">
        <x:v>08:50</x:v>
      </x:c>
      <x:c r="X104" s="1" t="n">
        <x:v>2.5</x:v>
      </x:c>
      <x:c r="Y104" s="1" t="n">
        <x:f>Parametros_Operacion!$B$6*0</x:f>
        <x:v>0</x:v>
      </x:c>
    </x:row>
    <x:row r="105">
      <x:c r="A105" s="1" t="str">
        <x:v>P0145</x:v>
      </x:c>
      <x:c r="B105" s="6" t="n">
        <x:v>46159.288194444445</x:v>
      </x:c>
      <x:c r="C105" s="1" t="str">
        <x:v>C027</x:v>
      </x:c>
      <x:c r="D105" s="1" t="str">
        <x:v>Distribuidora El Faro</x:v>
      </x:c>
      <x:c r="E105" s="1" t="str">
        <x:v>La Ceiba</x:v>
      </x:c>
      <x:c r="F105" s="7" t="n">
        <x:v>15.76803685728729</x:v>
      </x:c>
      <x:c r="G105" s="7" t="n">
        <x:v>-86.77768801221002</x:v>
      </x:c>
      <x:c r="H105" s="1" t="str">
        <x:v>R001</x:v>
      </x:c>
      <x:c r="I105" s="1" t="str">
        <x:v>Carlos Mejía</x:v>
      </x:c>
      <x:c r="J105" s="1" t="str">
        <x:v>V001</x:v>
      </x:c>
      <x:c r="K105" s="1" t="str">
        <x:v>Pickup con carrocería</x:v>
      </x:c>
      <x:c r="L105" s="1" t="str">
        <x:v>RT-20260517-R001</x:v>
      </x:c>
      <x:c r="M105" s="1" t="str">
        <x:v>06:41</x:v>
      </x:c>
      <x:c r="N105" s="1" t="str">
        <x:v>06:55</x:v>
      </x:c>
      <x:c r="O105" s="1" t="n">
        <x:v>14</x:v>
      </x:c>
      <x:c r="P105" s="5" t="n">
        <x:f>ROUND(X105+Y105,2)</x:f>
        <x:v>7.61</x:v>
      </x:c>
      <x:c r="Q105" s="5" t="n">
        <x:f>ROUND(P105/Vehiculos!$E$2*Vehiculos!$F$2,2)</x:f>
        <x:v>26.38</x:v>
      </x:c>
      <x:c r="R105" s="1" t="str">
        <x:v>Entregado</x:v>
      </x:c>
      <x:c r="S105" s="1" t="str">
        <x:v>Alta</x:v>
      </x:c>
      <x:c r="T105" s="1" t="n">
        <x:v>2</x:v>
      </x:c>
      <x:c r="U105" s="1" t="n">
        <x:v>2</x:v>
      </x:c>
      <x:c r="V105" s="5" t="n">
        <x:v>2384.92</x:v>
      </x:c>
      <x:c r="W105" s="1" t="str">
        <x:v>08:20</x:v>
      </x:c>
      <x:c r="X105" s="1" t="n">
        <x:v>7.61</x:v>
      </x:c>
      <x:c r="Y105" s="1" t="n">
        <x:f>Parametros_Operacion!$B$6*0</x:f>
        <x:v>0</x:v>
      </x:c>
    </x:row>
    <x:row r="106">
      <x:c r="A106" s="1" t="str">
        <x:v>P0024</x:v>
      </x:c>
      <x:c r="B106" s="6" t="n">
        <x:v>46159.31180555555</x:v>
      </x:c>
      <x:c r="C106" s="1" t="str">
        <x:v>C038</x:v>
      </x:c>
      <x:c r="D106" s="1" t="str">
        <x:v>Comercial Caribe</x:v>
      </x:c>
      <x:c r="E106" s="1" t="str">
        <x:v>San Francisco</x:v>
      </x:c>
      <x:c r="F106" s="7" t="n">
        <x:v>15.65607843594747</x:v>
      </x:c>
      <x:c r="G106" s="7" t="n">
        <x:v>-87.00416064224137</x:v>
      </x:c>
      <x:c r="H106" s="1" t="str">
        <x:v>R005</x:v>
      </x:c>
      <x:c r="I106" s="1" t="str">
        <x:v>José Martínez</x:v>
      </x:c>
      <x:c r="J106" s="1" t="str">
        <x:v>V005</x:v>
      </x:c>
      <x:c r="K106" s="1" t="str">
        <x:v>Camión pequeño</x:v>
      </x:c>
      <x:c r="L106" s="1" t="str">
        <x:v>RT-20260517-R005</x:v>
      </x:c>
      <x:c r="M106" s="1" t="str">
        <x:v>07:19</x:v>
      </x:c>
      <x:c r="N106" s="1" t="str">
        <x:v>07:29</x:v>
      </x:c>
      <x:c r="O106" s="1" t="n">
        <x:v>10</x:v>
      </x:c>
      <x:c r="P106" s="5" t="n">
        <x:f>ROUND(X106+Y106,2)</x:f>
        <x:v>72.58</x:v>
      </x:c>
      <x:c r="Q106" s="5" t="n">
        <x:f>ROUND(P106/Vehiculos!$E$6*Vehiculos!$F$6,2)</x:f>
        <x:v>345.89</x:v>
      </x:c>
      <x:c r="R106" s="1" t="str">
        <x:v>Entregado</x:v>
      </x:c>
      <x:c r="S106" s="1" t="str">
        <x:v>Media</x:v>
      </x:c>
      <x:c r="T106" s="1" t="n">
        <x:v>1</x:v>
      </x:c>
      <x:c r="U106" s="1" t="n">
        <x:v>1</x:v>
      </x:c>
      <x:c r="V106" s="5" t="n">
        <x:v>2581.88</x:v>
      </x:c>
      <x:c r="W106" s="1" t="str">
        <x:v>08:50</x:v>
      </x:c>
      <x:c r="X106" s="1" t="n">
        <x:v>2.58</x:v>
      </x:c>
      <x:c r="Y106" s="1" t="n">
        <x:f>Parametros_Operacion!$B$8*2</x:f>
        <x:v>70</x:v>
      </x:c>
    </x:row>
    <x:row r="107">
      <x:c r="A107" s="1" t="str">
        <x:v>P0132</x:v>
      </x:c>
      <x:c r="B107" s="6" t="n">
        <x:v>46159.31527777778</x:v>
      </x:c>
      <x:c r="C107" s="1" t="str">
        <x:v>C004</x:v>
      </x:c>
      <x:c r="D107" s="1" t="str">
        <x:v>Comercial Rivera</x:v>
      </x:c>
      <x:c r="E107" s="1" t="str">
        <x:v>La Masica</x:v>
      </x:c>
      <x:c r="F107" s="7" t="n">
        <x:v>15.60892338902915</x:v>
      </x:c>
      <x:c r="G107" s="7" t="n">
        <x:v>-86.73871508090915</x:v>
      </x:c>
      <x:c r="H107" s="1" t="str">
        <x:v>R004</x:v>
      </x:c>
      <x:c r="I107" s="1" t="str">
        <x:v>Daniela Cruz</x:v>
      </x:c>
      <x:c r="J107" s="1" t="str">
        <x:v>V004</x:v>
      </x:c>
      <x:c r="K107" s="1" t="str">
        <x:v>Pickup con carrocería</x:v>
      </x:c>
      <x:c r="L107" s="1" t="str">
        <x:v>RT-20260517-R004</x:v>
      </x:c>
      <x:c r="M107" s="1" t="str">
        <x:v>07:20</x:v>
      </x:c>
      <x:c r="N107" s="1" t="str">
        <x:v>07:34</x:v>
      </x:c>
      <x:c r="O107" s="1" t="n">
        <x:v>14</x:v>
      </x:c>
      <x:c r="P107" s="5" t="n">
        <x:f>ROUND(X107+Y107,2)</x:f>
        <x:v>45.78</x:v>
      </x:c>
      <x:c r="Q107" s="5" t="n">
        <x:f>ROUND(P107/Vehiculos!$E$5*Vehiculos!$F$5,2)</x:f>
        <x:v>166.23</x:v>
      </x:c>
      <x:c r="R107" s="1" t="str">
        <x:v>Entregado</x:v>
      </x:c>
      <x:c r="S107" s="1" t="str">
        <x:v>Media</x:v>
      </x:c>
      <x:c r="T107" s="1" t="n">
        <x:v>1</x:v>
      </x:c>
      <x:c r="U107" s="1" t="n">
        <x:v>1</x:v>
      </x:c>
      <x:c r="V107" s="5" t="n">
        <x:v>3476.65</x:v>
      </x:c>
      <x:c r="W107" s="1" t="str">
        <x:v>08:50</x:v>
      </x:c>
      <x:c r="X107" s="1" t="n">
        <x:v>4.58</x:v>
      </x:c>
      <x:c r="Y107" s="1" t="n">
        <x:f>Parametros_Operacion!$B$7*1</x:f>
        <x:v>41.2</x:v>
      </x:c>
    </x:row>
    <x:row r="108">
      <x:c r="A108" s="1" t="str">
        <x:v>P0159</x:v>
      </x:c>
      <x:c r="B108" s="6" t="n">
        <x:v>46159.322222222225</x:v>
      </x:c>
      <x:c r="C108" s="1" t="str">
        <x:v>C057</x:v>
      </x:c>
      <x:c r="D108" s="1" t="str">
        <x:v>Mini Súper El Parque</x:v>
      </x:c>
      <x:c r="E108" s="1" t="str">
        <x:v>La Masica</x:v>
      </x:c>
      <x:c r="F108" s="7" t="n">
        <x:v>15.6202804391031</x:v>
      </x:c>
      <x:c r="G108" s="7" t="n">
        <x:v>-86.73776915488939</x:v>
      </x:c>
      <x:c r="H108" s="1" t="str">
        <x:v>R004</x:v>
      </x:c>
      <x:c r="I108" s="1" t="str">
        <x:v>Daniela Cruz</x:v>
      </x:c>
      <x:c r="J108" s="1" t="str">
        <x:v>V004</x:v>
      </x:c>
      <x:c r="K108" s="1" t="str">
        <x:v>Pickup con carrocería</x:v>
      </x:c>
      <x:c r="L108" s="1" t="str">
        <x:v>RT-20260517-R004</x:v>
      </x:c>
      <x:c r="M108" s="1" t="str">
        <x:v>07:34</x:v>
      </x:c>
      <x:c r="N108" s="1" t="str">
        <x:v>07:44</x:v>
      </x:c>
      <x:c r="O108" s="1" t="n">
        <x:v>10</x:v>
      </x:c>
      <x:c r="P108" s="5" t="n">
        <x:f>ROUND(X108+Y108,2)</x:f>
        <x:v>46.67</x:v>
      </x:c>
      <x:c r="Q108" s="5" t="n">
        <x:f>ROUND(P108/Vehiculos!$E$5*Vehiculos!$F$5,2)</x:f>
        <x:v>169.46</x:v>
      </x:c>
      <x:c r="R108" s="1" t="str">
        <x:v>Entregado</x:v>
      </x:c>
      <x:c r="S108" s="1" t="str">
        <x:v>Media</x:v>
      </x:c>
      <x:c r="T108" s="1" t="n">
        <x:v>2</x:v>
      </x:c>
      <x:c r="U108" s="1" t="n">
        <x:v>2</x:v>
      </x:c>
      <x:c r="V108" s="5" t="n">
        <x:v>3259</x:v>
      </x:c>
      <x:c r="W108" s="1" t="str">
        <x:v>08:50</x:v>
      </x:c>
      <x:c r="X108" s="1" t="n">
        <x:v>5.47</x:v>
      </x:c>
      <x:c r="Y108" s="1" t="n">
        <x:f>Parametros_Operacion!$B$7*1</x:f>
        <x:v>41.2</x:v>
      </x:c>
    </x:row>
    <x:row r="109">
      <x:c r="A109" s="1" t="str">
        <x:v>P0089</x:v>
      </x:c>
      <x:c r="B109" s="6" t="n">
        <x:v>46159.345138888886</x:v>
      </x:c>
      <x:c r="C109" s="1" t="str">
        <x:v>C056</x:v>
      </x:c>
      <x:c r="D109" s="1" t="str">
        <x:v>Pulpería Los Amigos</x:v>
      </x:c>
      <x:c r="E109" s="1" t="str">
        <x:v>Arizona</x:v>
      </x:c>
      <x:c r="F109" s="7" t="n">
        <x:v>15.60141629778186</x:v>
      </x:c>
      <x:c r="G109" s="7" t="n">
        <x:v>-87.32913205719288</x:v>
      </x:c>
      <x:c r="H109" s="1" t="str">
        <x:v>R006</x:v>
      </x:c>
      <x:c r="I109" s="1" t="str">
        <x:v>Kevin Flores</x:v>
      </x:c>
      <x:c r="J109" s="1" t="str">
        <x:v>V006</x:v>
      </x:c>
      <x:c r="K109" s="1" t="str">
        <x:v>Pickup con carrocería</x:v>
      </x:c>
      <x:c r="L109" s="1" t="str">
        <x:v>RT-20260517-R006</x:v>
      </x:c>
      <x:c r="M109" s="1" t="str">
        <x:v>08:03</x:v>
      </x:c>
      <x:c r="N109" s="1" t="str">
        <x:v>08:17</x:v>
      </x:c>
      <x:c r="O109" s="1" t="n">
        <x:v>14</x:v>
      </x:c>
      <x:c r="P109" s="5" t="n">
        <x:f>ROUND(X109+Y109,2)</x:f>
        <x:v>77.06</x:v>
      </x:c>
      <x:c r="Q109" s="5" t="n">
        <x:f>ROUND(P109/Vehiculos!$E$7*Vehiculos!$F$7,2)</x:f>
        <x:v>293.79</x:v>
      </x:c>
      <x:c r="R109" s="1" t="str">
        <x:v>Entregado</x:v>
      </x:c>
      <x:c r="S109" s="1" t="str">
        <x:v>Alta</x:v>
      </x:c>
      <x:c r="T109" s="1" t="n">
        <x:v>1</x:v>
      </x:c>
      <x:c r="U109" s="1" t="n">
        <x:v>1</x:v>
      </x:c>
      <x:c r="V109" s="5" t="n">
        <x:v>2297.48</x:v>
      </x:c>
      <x:c r="W109" s="1" t="str">
        <x:v>08:20</x:v>
      </x:c>
      <x:c r="X109" s="1" t="n">
        <x:v>4.56</x:v>
      </x:c>
      <x:c r="Y109" s="1" t="n">
        <x:f>Parametros_Operacion!$B$2*1</x:f>
        <x:v>72.5</x:v>
      </x:c>
    </x:row>
    <x:row r="110">
      <x:c r="A110" s="1" t="str">
        <x:v>P0114</x:v>
      </x:c>
      <x:c r="B110" s="6" t="n">
        <x:v>46159.34583333333</x:v>
      </x:c>
      <x:c r="C110" s="1" t="str">
        <x:v>C028</x:v>
      </x:c>
      <x:c r="D110" s="1" t="str">
        <x:v>Pulpería El Buen Vecino</x:v>
      </x:c>
      <x:c r="E110" s="1" t="str">
        <x:v>Esparta</x:v>
      </x:c>
      <x:c r="F110" s="7" t="n">
        <x:v>15.64639811449093</x:v>
      </x:c>
      <x:c r="G110" s="7" t="n">
        <x:v>-87.26933914683686</x:v>
      </x:c>
      <x:c r="H110" s="1" t="str">
        <x:v>R007</x:v>
      </x:c>
      <x:c r="I110" s="1" t="str">
        <x:v>María Hernández</x:v>
      </x:c>
      <x:c r="J110" s="1" t="str">
        <x:v>V007</x:v>
      </x:c>
      <x:c r="K110" s="1" t="str">
        <x:v>Pickup con carrocería</x:v>
      </x:c>
      <x:c r="L110" s="1" t="str">
        <x:v>RT-20260517-R007</x:v>
      </x:c>
      <x:c r="M110" s="1" t="str">
        <x:v>08:08</x:v>
      </x:c>
      <x:c r="N110" s="1" t="str">
        <x:v>08:18</x:v>
      </x:c>
      <x:c r="O110" s="1" t="n">
        <x:v>10</x:v>
      </x:c>
      <x:c r="P110" s="5" t="n">
        <x:f>ROUND(X110+Y110,2)</x:f>
        <x:v>76.65</x:v>
      </x:c>
      <x:c r="Q110" s="5" t="n">
        <x:f>ROUND(P110/Vehiculos!$E$8*Vehiculos!$F$8,2)</x:f>
        <x:v>292.23</x:v>
      </x:c>
      <x:c r="R110" s="1" t="str">
        <x:v>Entregado</x:v>
      </x:c>
      <x:c r="S110" s="1" t="str">
        <x:v>Media</x:v>
      </x:c>
      <x:c r="T110" s="1" t="n">
        <x:v>1</x:v>
      </x:c>
      <x:c r="U110" s="1" t="n">
        <x:v>1</x:v>
      </x:c>
      <x:c r="V110" s="5" t="n">
        <x:v>3607.07</x:v>
      </x:c>
      <x:c r="W110" s="1" t="str">
        <x:v>08:50</x:v>
      </x:c>
      <x:c r="X110" s="1" t="n">
        <x:v>1.15</x:v>
      </x:c>
      <x:c r="Y110" s="1" t="n">
        <x:f>Parametros_Operacion!$B$4*1</x:f>
        <x:v>75.5</x:v>
      </x:c>
    </x:row>
    <x:row r="111">
      <x:c r="A111" s="1" t="str">
        <x:v>P0161</x:v>
      </x:c>
      <x:c r="B111" s="6" t="n">
        <x:v>46159.35555555556</x:v>
      </x:c>
      <x:c r="C111" s="1" t="str">
        <x:v>C052</x:v>
      </x:c>
      <x:c r="D111" s="1" t="str">
        <x:v>Mini Súper Atlántida</x:v>
      </x:c>
      <x:c r="E111" s="1" t="str">
        <x:v>Esparta</x:v>
      </x:c>
      <x:c r="F111" s="7" t="n">
        <x:v>15.67699341269267</x:v>
      </x:c>
      <x:c r="G111" s="7" t="n">
        <x:v>-87.263502500332</x:v>
      </x:c>
      <x:c r="H111" s="1" t="str">
        <x:v>R007</x:v>
      </x:c>
      <x:c r="I111" s="1" t="str">
        <x:v>María Hernández</x:v>
      </x:c>
      <x:c r="J111" s="1" t="str">
        <x:v>V007</x:v>
      </x:c>
      <x:c r="K111" s="1" t="str">
        <x:v>Pickup con carrocería</x:v>
      </x:c>
      <x:c r="L111" s="1" t="str">
        <x:v>RT-20260517-R007</x:v>
      </x:c>
      <x:c r="M111" s="1" t="str">
        <x:v>08:18</x:v>
      </x:c>
      <x:c r="N111" s="1" t="str">
        <x:v>08:32</x:v>
      </x:c>
      <x:c r="O111" s="1" t="n">
        <x:v>14</x:v>
      </x:c>
      <x:c r="P111" s="5" t="n">
        <x:f>ROUND(X111+Y111,2)</x:f>
        <x:v>4.32</x:v>
      </x:c>
      <x:c r="Q111" s="5" t="n">
        <x:f>ROUND(P111/Vehiculos!$E$8*Vehiculos!$F$8,2)</x:f>
        <x:v>16.47</x:v>
      </x:c>
      <x:c r="R111" s="1" t="str">
        <x:v>Entregado</x:v>
      </x:c>
      <x:c r="S111" s="1" t="str">
        <x:v>Media</x:v>
      </x:c>
      <x:c r="T111" s="1" t="n">
        <x:v>2</x:v>
      </x:c>
      <x:c r="U111" s="1" t="n">
        <x:v>3</x:v>
      </x:c>
      <x:c r="V111" s="5" t="n">
        <x:v>2428.23</x:v>
      </x:c>
      <x:c r="W111" s="1" t="str">
        <x:v>08:50</x:v>
      </x:c>
      <x:c r="X111" s="1" t="n">
        <x:v>4.32</x:v>
      </x:c>
      <x:c r="Y111" s="1" t="n">
        <x:f>Parametros_Operacion!$B$4*0</x:f>
        <x:v>0</x:v>
      </x:c>
    </x:row>
    <x:row r="112">
      <x:c r="A112" s="1" t="str">
        <x:v>P0098</x:v>
      </x:c>
      <x:c r="B112" s="6" t="n">
        <x:v>46159.35972222222</x:v>
      </x:c>
      <x:c r="C112" s="1" t="str">
        <x:v>C007</x:v>
      </x:c>
      <x:c r="D112" s="1" t="str">
        <x:v>Distribuidora El Faro</x:v>
      </x:c>
      <x:c r="E112" s="1" t="str">
        <x:v>Arizona</x:v>
      </x:c>
      <x:c r="F112" s="7" t="n">
        <x:v>15.65824299089472</x:v>
      </x:c>
      <x:c r="G112" s="7" t="n">
        <x:v>-87.37734008221386</x:v>
      </x:c>
      <x:c r="H112" s="1" t="str">
        <x:v>R006</x:v>
      </x:c>
      <x:c r="I112" s="1" t="str">
        <x:v>Kevin Flores</x:v>
      </x:c>
      <x:c r="J112" s="1" t="str">
        <x:v>V006</x:v>
      </x:c>
      <x:c r="K112" s="1" t="str">
        <x:v>Pickup con carrocería</x:v>
      </x:c>
      <x:c r="L112" s="1" t="str">
        <x:v>RT-20260517-R006</x:v>
      </x:c>
      <x:c r="M112" s="1" t="str">
        <x:v>08:17</x:v>
      </x:c>
      <x:c r="N112" s="1" t="str">
        <x:v>08:38</x:v>
      </x:c>
      <x:c r="O112" s="1" t="n">
        <x:v>21</x:v>
      </x:c>
      <x:c r="P112" s="5" t="n">
        <x:f>ROUND(X112+Y112,2)</x:f>
        <x:v>88.94</x:v>
      </x:c>
      <x:c r="Q112" s="5" t="n">
        <x:f>ROUND(P112/Vehiculos!$E$7*Vehiculos!$F$7,2)</x:f>
        <x:v>339.09</x:v>
      </x:c>
      <x:c r="R112" s="1" t="str">
        <x:v>Entregado</x:v>
      </x:c>
      <x:c r="S112" s="1" t="str">
        <x:v>Baja</x:v>
      </x:c>
      <x:c r="T112" s="1" t="n">
        <x:v>2</x:v>
      </x:c>
      <x:c r="U112" s="1" t="n">
        <x:v>2</x:v>
      </x:c>
      <x:c r="V112" s="5" t="n">
        <x:v>3860.66</x:v>
      </x:c>
      <x:c r="W112" s="1" t="str">
        <x:v>09:30</x:v>
      </x:c>
      <x:c r="X112" s="1" t="n">
        <x:v>16.44</x:v>
      </x:c>
      <x:c r="Y112" s="1" t="n">
        <x:f>Parametros_Operacion!$B$2*1</x:f>
        <x:v>72.5</x:v>
      </x:c>
    </x:row>
    <x:row r="113">
      <x:c r="A113" s="1" t="str">
        <x:v>P0134</x:v>
      </x:c>
      <x:c r="B113" s="6" t="n">
        <x:v>46159.361805555556</x:v>
      </x:c>
      <x:c r="C113" s="1" t="str">
        <x:v>C029</x:v>
      </x:c>
      <x:c r="D113" s="1" t="str">
        <x:v>Mini Súper El Triunfo</x:v>
      </x:c>
      <x:c r="E113" s="1" t="str">
        <x:v>Esparta</x:v>
      </x:c>
      <x:c r="F113" s="7" t="n">
        <x:v>15.67954455979815</x:v>
      </x:c>
      <x:c r="G113" s="7" t="n">
        <x:v>-87.27057452130482</x:v>
      </x:c>
      <x:c r="H113" s="1" t="str">
        <x:v>R007</x:v>
      </x:c>
      <x:c r="I113" s="1" t="str">
        <x:v>María Hernández</x:v>
      </x:c>
      <x:c r="J113" s="1" t="str">
        <x:v>V007</x:v>
      </x:c>
      <x:c r="K113" s="1" t="str">
        <x:v>Pickup con carrocería</x:v>
      </x:c>
      <x:c r="L113" s="1" t="str">
        <x:v>RT-20260517-R007</x:v>
      </x:c>
      <x:c r="M113" s="1" t="str">
        <x:v>08:32</x:v>
      </x:c>
      <x:c r="N113" s="1" t="str">
        <x:v>08:41</x:v>
      </x:c>
      <x:c r="O113" s="1" t="n">
        <x:v>9</x:v>
      </x:c>
      <x:c r="P113" s="5" t="n">
        <x:f>ROUND(X113+Y113,2)</x:f>
        <x:v>79.99</x:v>
      </x:c>
      <x:c r="Q113" s="5" t="n">
        <x:f>ROUND(P113/Vehiculos!$E$8*Vehiculos!$F$8,2)</x:f>
        <x:v>304.96</x:v>
      </x:c>
      <x:c r="R113" s="1" t="str">
        <x:v>Retrasado</x:v>
      </x:c>
      <x:c r="S113" s="1" t="str">
        <x:v>Alta</x:v>
      </x:c>
      <x:c r="T113" s="1" t="n">
        <x:v>3</x:v>
      </x:c>
      <x:c r="U113" s="1" t="n">
        <x:v>2</x:v>
      </x:c>
      <x:c r="V113" s="5" t="n">
        <x:v>6019.99</x:v>
      </x:c>
      <x:c r="W113" s="1" t="str">
        <x:v>08:20</x:v>
      </x:c>
      <x:c r="X113" s="1" t="n">
        <x:v>4.49</x:v>
      </x:c>
      <x:c r="Y113" s="1" t="n">
        <x:f>Parametros_Operacion!$B$4*1</x:f>
        <x:v>75.5</x:v>
      </x:c>
    </x:row>
    <x:row r="114">
      <x:c r="A114" s="1" t="str">
        <x:v>P0091</x:v>
      </x:c>
      <x:c r="B114" s="6" t="n">
        <x:v>46160.30625</x:v>
      </x:c>
      <x:c r="C114" s="1" t="str">
        <x:v>C051</x:v>
      </x:c>
      <x:c r="D114" s="1" t="str">
        <x:v>Pulpería La Esperanza</x:v>
      </x:c>
      <x:c r="E114" s="1" t="str">
        <x:v>Jutiapa</x:v>
      </x:c>
      <x:c r="F114" s="7" t="n">
        <x:v>15.64757132645944</x:v>
      </x:c>
      <x:c r="G114" s="7" t="n">
        <x:v>-86.23647664495304</x:v>
      </x:c>
      <x:c r="H114" s="1" t="str">
        <x:v>R003</x:v>
      </x:c>
      <x:c r="I114" s="1" t="str">
        <x:v>Luis Ramírez</x:v>
      </x:c>
      <x:c r="J114" s="1" t="str">
        <x:v>V003</x:v>
      </x:c>
      <x:c r="K114" s="1" t="str">
        <x:v>Pickup con carrocería</x:v>
      </x:c>
      <x:c r="L114" s="1" t="str">
        <x:v>RT-20260518-R003</x:v>
      </x:c>
      <x:c r="M114" s="1" t="str">
        <x:v>07:10</x:v>
      </x:c>
      <x:c r="N114" s="1" t="str">
        <x:v>07:21</x:v>
      </x:c>
      <x:c r="O114" s="1" t="n">
        <x:v>11</x:v>
      </x:c>
      <x:c r="P114" s="5" t="n">
        <x:f>ROUND(X114+Y114,2)</x:f>
        <x:v>68.04</x:v>
      </x:c>
      <x:c r="Q114" s="5" t="n">
        <x:f>ROUND(P114/Vehiculos!$E$4*Vehiculos!$F$4,2)</x:f>
        <x:v>259.4</x:v>
      </x:c>
      <x:c r="R114" s="1" t="str">
        <x:v>Entregado</x:v>
      </x:c>
      <x:c r="S114" s="1" t="str">
        <x:v>Media</x:v>
      </x:c>
      <x:c r="T114" s="1" t="n">
        <x:v>1</x:v>
      </x:c>
      <x:c r="U114" s="1" t="n">
        <x:v>1</x:v>
      </x:c>
      <x:c r="V114" s="5" t="n">
        <x:v>5590.08</x:v>
      </x:c>
      <x:c r="W114" s="1" t="str">
        <x:v>08:50</x:v>
      </x:c>
      <x:c r="X114" s="1" t="n">
        <x:v>5.24</x:v>
      </x:c>
      <x:c r="Y114" s="1" t="n">
        <x:f>Parametros_Operacion!$B$5*2</x:f>
        <x:v>62.8</x:v>
      </x:c>
    </x:row>
    <x:row r="115">
      <x:c r="A115" s="1" t="str">
        <x:v>P0128</x:v>
      </x:c>
      <x:c r="B115" s="6" t="n">
        <x:v>46160.31527777778</x:v>
      </x:c>
      <x:c r="C115" s="1" t="str">
        <x:v>C023</x:v>
      </x:c>
      <x:c r="D115" s="1" t="str">
        <x:v>Supermercado Rafael</x:v>
      </x:c>
      <x:c r="E115" s="1" t="str">
        <x:v>La Masica</x:v>
      </x:c>
      <x:c r="F115" s="7" t="n">
        <x:v>15.6461293985481</x:v>
      </x:c>
      <x:c r="G115" s="7" t="n">
        <x:v>-86.73872358205551</x:v>
      </x:c>
      <x:c r="H115" s="1" t="str">
        <x:v>R004</x:v>
      </x:c>
      <x:c r="I115" s="1" t="str">
        <x:v>Daniela Cruz</x:v>
      </x:c>
      <x:c r="J115" s="1" t="str">
        <x:v>V004</x:v>
      </x:c>
      <x:c r="K115" s="1" t="str">
        <x:v>Pickup con carrocería</x:v>
      </x:c>
      <x:c r="L115" s="1" t="str">
        <x:v>RT-20260518-R004</x:v>
      </x:c>
      <x:c r="M115" s="1" t="str">
        <x:v>07:20</x:v>
      </x:c>
      <x:c r="N115" s="1" t="str">
        <x:v>07:34</x:v>
      </x:c>
      <x:c r="O115" s="1" t="n">
        <x:v>14</x:v>
      </x:c>
      <x:c r="P115" s="5" t="n">
        <x:f>ROUND(X115+Y115,2)</x:f>
        <x:v>92.1</x:v>
      </x:c>
      <x:c r="Q115" s="5" t="n">
        <x:f>ROUND(P115/Vehiculos!$E$5*Vehiculos!$F$5,2)</x:f>
        <x:v>334.41</x:v>
      </x:c>
      <x:c r="R115" s="1" t="str">
        <x:v>Entregado</x:v>
      </x:c>
      <x:c r="S115" s="1" t="str">
        <x:v>Alta</x:v>
      </x:c>
      <x:c r="T115" s="1" t="n">
        <x:v>1</x:v>
      </x:c>
      <x:c r="U115" s="1" t="n">
        <x:v>1</x:v>
      </x:c>
      <x:c r="V115" s="5" t="n">
        <x:v>4066.33</x:v>
      </x:c>
      <x:c r="W115" s="1" t="str">
        <x:v>08:20</x:v>
      </x:c>
      <x:c r="X115" s="1" t="n">
        <x:v>9.7</x:v>
      </x:c>
      <x:c r="Y115" s="1" t="n">
        <x:f>Parametros_Operacion!$B$7*2</x:f>
        <x:v>82.4</x:v>
      </x:c>
    </x:row>
    <x:row r="116">
      <x:c r="A116" s="1" t="str">
        <x:v>P0034</x:v>
      </x:c>
      <x:c r="B116" s="6" t="n">
        <x:v>46160.34722222222</x:v>
      </x:c>
      <x:c r="C116" s="1" t="str">
        <x:v>C045</x:v>
      </x:c>
      <x:c r="D116" s="1" t="str">
        <x:v>Mini Market San José</x:v>
      </x:c>
      <x:c r="E116" s="1" t="str">
        <x:v>Esparta</x:v>
      </x:c>
      <x:c r="F116" s="7" t="n">
        <x:v>15.63866963202749</x:v>
      </x:c>
      <x:c r="G116" s="7" t="n">
        <x:v>-87.28674513285189</x:v>
      </x:c>
      <x:c r="H116" s="1" t="str">
        <x:v>R007</x:v>
      </x:c>
      <x:c r="I116" s="1" t="str">
        <x:v>María Hernández</x:v>
      </x:c>
      <x:c r="J116" s="1" t="str">
        <x:v>V007</x:v>
      </x:c>
      <x:c r="K116" s="1" t="str">
        <x:v>Pickup con carrocería</x:v>
      </x:c>
      <x:c r="L116" s="1" t="str">
        <x:v>RT-20260518-R007</x:v>
      </x:c>
      <x:c r="M116" s="1" t="str">
        <x:v>08:08</x:v>
      </x:c>
      <x:c r="N116" s="1" t="str">
        <x:v>08:20</x:v>
      </x:c>
      <x:c r="O116" s="1" t="n">
        <x:v>12</x:v>
      </x:c>
      <x:c r="P116" s="5" t="n">
        <x:f>ROUND(X116+Y116,2)</x:f>
        <x:v>78.79</x:v>
      </x:c>
      <x:c r="Q116" s="5" t="n">
        <x:f>ROUND(P116/Vehiculos!$E$8*Vehiculos!$F$8,2)</x:f>
        <x:v>300.39</x:v>
      </x:c>
      <x:c r="R116" s="1" t="str">
        <x:v>Entregado</x:v>
      </x:c>
      <x:c r="S116" s="1" t="str">
        <x:v>Baja</x:v>
      </x:c>
      <x:c r="T116" s="1" t="n">
        <x:v>1</x:v>
      </x:c>
      <x:c r="U116" s="1" t="n">
        <x:v>1</x:v>
      </x:c>
      <x:c r="V116" s="5" t="n">
        <x:v>1814.8</x:v>
      </x:c>
      <x:c r="W116" s="1" t="str">
        <x:v>09:30</x:v>
      </x:c>
      <x:c r="X116" s="1" t="n">
        <x:v>3.29</x:v>
      </x:c>
      <x:c r="Y116" s="1" t="n">
        <x:f>Parametros_Operacion!$B$4*1</x:f>
        <x:v>75.5</x:v>
      </x:c>
    </x:row>
    <x:row r="117">
      <x:c r="A117" s="1" t="str">
        <x:v>P0131</x:v>
      </x:c>
      <x:c r="B117" s="6" t="n">
        <x:v>46160.353472222225</x:v>
      </x:c>
      <x:c r="C117" s="1" t="str">
        <x:v>C031</x:v>
      </x:c>
      <x:c r="D117" s="1" t="str">
        <x:v>Pulpería La Esperanza</x:v>
      </x:c>
      <x:c r="E117" s="1" t="str">
        <x:v>Esparta</x:v>
      </x:c>
      <x:c r="F117" s="7" t="n">
        <x:v>15.6329608041621</x:v>
      </x:c>
      <x:c r="G117" s="7" t="n">
        <x:v>-87.2835937878433</x:v>
      </x:c>
      <x:c r="H117" s="1" t="str">
        <x:v>R007</x:v>
      </x:c>
      <x:c r="I117" s="1" t="str">
        <x:v>María Hernández</x:v>
      </x:c>
      <x:c r="J117" s="1" t="str">
        <x:v>V007</x:v>
      </x:c>
      <x:c r="K117" s="1" t="str">
        <x:v>Pickup con carrocería</x:v>
      </x:c>
      <x:c r="L117" s="1" t="str">
        <x:v>RT-20260518-R007</x:v>
      </x:c>
      <x:c r="M117" s="1" t="str">
        <x:v>08:20</x:v>
      </x:c>
      <x:c r="N117" s="1" t="str">
        <x:v>08:29</x:v>
      </x:c>
      <x:c r="O117" s="1" t="n">
        <x:v>9</x:v>
      </x:c>
      <x:c r="P117" s="5" t="n">
        <x:f>ROUND(X117+Y117,2)</x:f>
        <x:v>80.02</x:v>
      </x:c>
      <x:c r="Q117" s="5" t="n">
        <x:f>ROUND(P117/Vehiculos!$E$8*Vehiculos!$F$8,2)</x:f>
        <x:v>305.08</x:v>
      </x:c>
      <x:c r="R117" s="1" t="str">
        <x:v>Entregado</x:v>
      </x:c>
      <x:c r="S117" s="1" t="str">
        <x:v>Media</x:v>
      </x:c>
      <x:c r="T117" s="1" t="n">
        <x:v>2</x:v>
      </x:c>
      <x:c r="U117" s="1" t="n">
        <x:v>2</x:v>
      </x:c>
      <x:c r="V117" s="5" t="n">
        <x:v>6139.66</x:v>
      </x:c>
      <x:c r="W117" s="1" t="str">
        <x:v>08:50</x:v>
      </x:c>
      <x:c r="X117" s="1" t="n">
        <x:v>4.52</x:v>
      </x:c>
      <x:c r="Y117" s="1" t="n">
        <x:f>Parametros_Operacion!$B$4*1</x:f>
        <x:v>75.5</x:v>
      </x:c>
    </x:row>
    <x:row r="118">
      <x:c r="A118" s="1" t="str">
        <x:v>P0163</x:v>
      </x:c>
      <x:c r="B118" s="6" t="n">
        <x:v>46160.368055555555</x:v>
      </x:c>
      <x:c r="C118" s="1" t="str">
        <x:v>C024</x:v>
      </x:c>
      <x:c r="D118" s="1" t="str">
        <x:v>Comercial Rivera</x:v>
      </x:c>
      <x:c r="E118" s="1" t="str">
        <x:v>Tela</x:v>
      </x:c>
      <x:c r="F118" s="7" t="n">
        <x:v>15.774439556803</x:v>
      </x:c>
      <x:c r="G118" s="7" t="n">
        <x:v>-87.47534140483269</x:v>
      </x:c>
      <x:c r="H118" s="1" t="str">
        <x:v>R002</x:v>
      </x:c>
      <x:c r="I118" s="1" t="str">
        <x:v>Ana López</x:v>
      </x:c>
      <x:c r="J118" s="1" t="str">
        <x:v>V002</x:v>
      </x:c>
      <x:c r="K118" s="1" t="str">
        <x:v>Pickup con carrocería</x:v>
      </x:c>
      <x:c r="L118" s="1" t="str">
        <x:v>RT-20260518-R002</x:v>
      </x:c>
      <x:c r="M118" s="1" t="str">
        <x:v>08:38</x:v>
      </x:c>
      <x:c r="N118" s="1" t="str">
        <x:v>08:50</x:v>
      </x:c>
      <x:c r="O118" s="1" t="n">
        <x:v>12</x:v>
      </x:c>
      <x:c r="P118" s="5" t="n">
        <x:f>ROUND(X118+Y118,2)</x:f>
        <x:v>105.23</x:v>
      </x:c>
      <x:c r="Q118" s="5" t="n">
        <x:f>ROUND(P118/Vehiculos!$E$3*Vehiculos!$F$3,2)</x:f>
        <x:v>382.09</x:v>
      </x:c>
      <x:c r="R118" s="1" t="str">
        <x:v>Entregado</x:v>
      </x:c>
      <x:c r="S118" s="1" t="str">
        <x:v>Media</x:v>
      </x:c>
      <x:c r="T118" s="1" t="n">
        <x:v>1</x:v>
      </x:c>
      <x:c r="U118" s="1" t="n">
        <x:v>1</x:v>
      </x:c>
      <x:c r="V118" s="5" t="n">
        <x:v>4533.88</x:v>
      </x:c>
      <x:c r="W118" s="1" t="str">
        <x:v>08:50</x:v>
      </x:c>
      <x:c r="X118" s="1" t="n">
        <x:v>2.93</x:v>
      </x:c>
      <x:c r="Y118" s="1" t="n">
        <x:f>Parametros_Operacion!$B$9*1</x:f>
        <x:v>102.3</x:v>
      </x:c>
    </x:row>
    <x:row r="119">
      <x:c r="A119" s="1" t="str">
        <x:v>P0023</x:v>
      </x:c>
      <x:c r="B119" s="6" t="n">
        <x:v>46160.379166666666</x:v>
      </x:c>
      <x:c r="C119" s="1" t="str">
        <x:v>C025</x:v>
      </x:c>
      <x:c r="D119" s="1" t="str">
        <x:v>Mini Market San José</x:v>
      </x:c>
      <x:c r="E119" s="1" t="str">
        <x:v>Tela</x:v>
      </x:c>
      <x:c r="F119" s="7" t="n">
        <x:v>15.7668037630801</x:v>
      </x:c>
      <x:c r="G119" s="7" t="n">
        <x:v>-87.42656483065103</x:v>
      </x:c>
      <x:c r="H119" s="1" t="str">
        <x:v>R002</x:v>
      </x:c>
      <x:c r="I119" s="1" t="str">
        <x:v>Ana López</x:v>
      </x:c>
      <x:c r="J119" s="1" t="str">
        <x:v>V002</x:v>
      </x:c>
      <x:c r="K119" s="1" t="str">
        <x:v>Pickup con carrocería</x:v>
      </x:c>
      <x:c r="L119" s="1" t="str">
        <x:v>RT-20260518-R002</x:v>
      </x:c>
      <x:c r="M119" s="1" t="str">
        <x:v>08:50</x:v>
      </x:c>
      <x:c r="N119" s="1" t="str">
        <x:v>09:06</x:v>
      </x:c>
      <x:c r="O119" s="1" t="n">
        <x:v>16</x:v>
      </x:c>
      <x:c r="P119" s="5" t="n">
        <x:f>ROUND(X119+Y119,2)</x:f>
        <x:v>112.88</x:v>
      </x:c>
      <x:c r="Q119" s="5" t="n">
        <x:f>ROUND(P119/Vehiculos!$E$3*Vehiculos!$F$3,2)</x:f>
        <x:v>409.87</x:v>
      </x:c>
      <x:c r="R119" s="1" t="str">
        <x:v>Retrasado</x:v>
      </x:c>
      <x:c r="S119" s="1" t="str">
        <x:v>Media</x:v>
      </x:c>
      <x:c r="T119" s="1" t="n">
        <x:v>2</x:v>
      </x:c>
      <x:c r="U119" s="1" t="n">
        <x:v>2</x:v>
      </x:c>
      <x:c r="V119" s="5" t="n">
        <x:v>4763.38</x:v>
      </x:c>
      <x:c r="W119" s="1" t="str">
        <x:v>08:50</x:v>
      </x:c>
      <x:c r="X119" s="1" t="n">
        <x:v>10.58</x:v>
      </x:c>
      <x:c r="Y119" s="1" t="n">
        <x:f>Parametros_Operacion!$B$9*1</x:f>
        <x:v>102.3</x:v>
      </x:c>
    </x:row>
    <x:row r="120">
      <x:c r="A120" s="1" t="str">
        <x:v>P0109</x:v>
      </x:c>
      <x:c r="B120" s="6" t="n">
        <x:v>46161.27847222222</x:v>
      </x:c>
      <x:c r="C120" s="1" t="str">
        <x:v>C041</x:v>
      </x:c>
      <x:c r="D120" s="1" t="str">
        <x:v>Pulpería Oseguera</x:v>
      </x:c>
      <x:c r="E120" s="1" t="str">
        <x:v>La Ceiba</x:v>
      </x:c>
      <x:c r="F120" s="7" t="n">
        <x:v>15.77279131084483</x:v>
      </x:c>
      <x:c r="G120" s="7" t="n">
        <x:v>-86.81479599652472</x:v>
      </x:c>
      <x:c r="H120" s="1" t="str">
        <x:v>R001</x:v>
      </x:c>
      <x:c r="I120" s="1" t="str">
        <x:v>Carlos Mejía</x:v>
      </x:c>
      <x:c r="J120" s="1" t="str">
        <x:v>V001</x:v>
      </x:c>
      <x:c r="K120" s="1" t="str">
        <x:v>Pickup con carrocería</x:v>
      </x:c>
      <x:c r="L120" s="1" t="str">
        <x:v>RT-20260519-R001</x:v>
      </x:c>
      <x:c r="M120" s="1" t="str">
        <x:v>06:30</x:v>
      </x:c>
      <x:c r="N120" s="1" t="str">
        <x:v>06:41</x:v>
      </x:c>
      <x:c r="O120" s="1" t="n">
        <x:v>11</x:v>
      </x:c>
      <x:c r="P120" s="5" t="n">
        <x:f>ROUND(X120+Y120,2)</x:f>
        <x:v>5</x:v>
      </x:c>
      <x:c r="Q120" s="5" t="n">
        <x:f>ROUND(P120/Vehiculos!$E$2*Vehiculos!$F$2,2)</x:f>
        <x:v>17.33</x:v>
      </x:c>
      <x:c r="R120" s="1" t="str">
        <x:v>Entregado</x:v>
      </x:c>
      <x:c r="S120" s="1" t="str">
        <x:v>Media</x:v>
      </x:c>
      <x:c r="T120" s="1" t="n">
        <x:v>1</x:v>
      </x:c>
      <x:c r="U120" s="1" t="n">
        <x:v>1</x:v>
      </x:c>
      <x:c r="V120" s="5" t="n">
        <x:v>2357.5</x:v>
      </x:c>
      <x:c r="W120" s="1" t="str">
        <x:v>08:50</x:v>
      </x:c>
      <x:c r="X120" s="1" t="n">
        <x:v>5</x:v>
      </x:c>
      <x:c r="Y120" s="1" t="n">
        <x:f>Parametros_Operacion!$B$6*0</x:f>
        <x:v>0</x:v>
      </x:c>
    </x:row>
    <x:row r="121">
      <x:c r="A121" s="1" t="str">
        <x:v>P0170</x:v>
      </x:c>
      <x:c r="B121" s="6" t="n">
        <x:v>46161.29583333333</x:v>
      </x:c>
      <x:c r="C121" s="1" t="str">
        <x:v>C036</x:v>
      </x:c>
      <x:c r="D121" s="1" t="str">
        <x:v>Pulpería Los Amigos</x:v>
      </x:c>
      <x:c r="E121" s="1" t="str">
        <x:v>El Porvenir</x:v>
      </x:c>
      <x:c r="F121" s="7" t="n">
        <x:v>15.73514406884404</x:v>
      </x:c>
      <x:c r="G121" s="7" t="n">
        <x:v>-86.860694251453</x:v>
      </x:c>
      <x:c r="H121" s="1" t="str">
        <x:v>R008</x:v>
      </x:c>
      <x:c r="I121" s="1" t="str">
        <x:v>Jorge Castro</x:v>
      </x:c>
      <x:c r="J121" s="1" t="str">
        <x:v>V008</x:v>
      </x:c>
      <x:c r="K121" s="1" t="str">
        <x:v>Camión pequeño</x:v>
      </x:c>
      <x:c r="L121" s="1" t="str">
        <x:v>RT-20260519-R008</x:v>
      </x:c>
      <x:c r="M121" s="1" t="str">
        <x:v>06:54</x:v>
      </x:c>
      <x:c r="N121" s="1" t="str">
        <x:v>07:06</x:v>
      </x:c>
      <x:c r="O121" s="1" t="n">
        <x:v>12</x:v>
      </x:c>
      <x:c r="P121" s="5" t="n">
        <x:f>ROUND(X121+Y121,2)</x:f>
        <x:v>38.32</x:v>
      </x:c>
      <x:c r="Q121" s="5" t="n">
        <x:f>ROUND(P121/Vehiculos!$E$9*Vehiculos!$F$9,2)</x:f>
        <x:v>194.79</x:v>
      </x:c>
      <x:c r="R121" s="1" t="str">
        <x:v>Entregado</x:v>
      </x:c>
      <x:c r="S121" s="1" t="str">
        <x:v>Media</x:v>
      </x:c>
      <x:c r="T121" s="1" t="n">
        <x:v>1</x:v>
      </x:c>
      <x:c r="U121" s="1" t="n">
        <x:v>1</x:v>
      </x:c>
      <x:c r="V121" s="5" t="n">
        <x:v>2569.19</x:v>
      </x:c>
      <x:c r="W121" s="1" t="str">
        <x:v>08:50</x:v>
      </x:c>
      <x:c r="X121" s="1" t="n">
        <x:v>5.32</x:v>
      </x:c>
      <x:c r="Y121" s="1" t="n">
        <x:f>Parametros_Operacion!$B$3*2</x:f>
        <x:v>33</x:v>
      </x:c>
    </x:row>
    <x:row r="122">
      <x:c r="A122" s="1" t="str">
        <x:v>P0167</x:v>
      </x:c>
      <x:c r="B122" s="6" t="n">
        <x:v>46161.30902777778</x:v>
      </x:c>
      <x:c r="C122" s="1" t="str">
        <x:v>C006</x:v>
      </x:c>
      <x:c r="D122" s="1" t="str">
        <x:v>Abarrotería El Centro</x:v>
      </x:c>
      <x:c r="E122" s="1" t="str">
        <x:v>Jutiapa</x:v>
      </x:c>
      <x:c r="F122" s="7" t="n">
        <x:v>15.69621823719406</x:v>
      </x:c>
      <x:c r="G122" s="7" t="n">
        <x:v>-86.1982096577805</x:v>
      </x:c>
      <x:c r="H122" s="1" t="str">
        <x:v>R003</x:v>
      </x:c>
      <x:c r="I122" s="1" t="str">
        <x:v>Luis Ramírez</x:v>
      </x:c>
      <x:c r="J122" s="1" t="str">
        <x:v>V003</x:v>
      </x:c>
      <x:c r="K122" s="1" t="str">
        <x:v>Pickup con carrocería</x:v>
      </x:c>
      <x:c r="L122" s="1" t="str">
        <x:v>RT-20260519-R003</x:v>
      </x:c>
      <x:c r="M122" s="1" t="str">
        <x:v>07:10</x:v>
      </x:c>
      <x:c r="N122" s="1" t="str">
        <x:v>07:25</x:v>
      </x:c>
      <x:c r="O122" s="1" t="n">
        <x:v>15</x:v>
      </x:c>
      <x:c r="P122" s="5" t="n">
        <x:f>ROUND(X122+Y122,2)</x:f>
        <x:v>74.54</x:v>
      </x:c>
      <x:c r="Q122" s="5" t="n">
        <x:f>ROUND(P122/Vehiculos!$E$4*Vehiculos!$F$4,2)</x:f>
        <x:v>284.19</x:v>
      </x:c>
      <x:c r="R122" s="1" t="str">
        <x:v>Entregado</x:v>
      </x:c>
      <x:c r="S122" s="1" t="str">
        <x:v>Media</x:v>
      </x:c>
      <x:c r="T122" s="1" t="n">
        <x:v>1</x:v>
      </x:c>
      <x:c r="U122" s="1" t="n">
        <x:v>1</x:v>
      </x:c>
      <x:c r="V122" s="5" t="n">
        <x:v>3044.72</x:v>
      </x:c>
      <x:c r="W122" s="1" t="str">
        <x:v>08:50</x:v>
      </x:c>
      <x:c r="X122" s="1" t="n">
        <x:v>11.74</x:v>
      </x:c>
      <x:c r="Y122" s="1" t="n">
        <x:f>Parametros_Operacion!$B$5*2</x:f>
        <x:v>62.8</x:v>
      </x:c>
    </x:row>
    <x:row r="123">
      <x:c r="A123" s="1" t="str">
        <x:v>P0139</x:v>
      </x:c>
      <x:c r="B123" s="6" t="n">
        <x:v>46161.31319444445</x:v>
      </x:c>
      <x:c r="C123" s="1" t="str">
        <x:v>C009</x:v>
      </x:c>
      <x:c r="D123" s="1" t="str">
        <x:v>Mini Súper El Triunfo</x:v>
      </x:c>
      <x:c r="E123" s="1" t="str">
        <x:v>San Francisco</x:v>
      </x:c>
      <x:c r="F123" s="7" t="n">
        <x:v>15.6694910790675</x:v>
      </x:c>
      <x:c r="G123" s="7" t="n">
        <x:v>-87.00719051029638</x:v>
      </x:c>
      <x:c r="H123" s="1" t="str">
        <x:v>R005</x:v>
      </x:c>
      <x:c r="I123" s="1" t="str">
        <x:v>José Martínez</x:v>
      </x:c>
      <x:c r="J123" s="1" t="str">
        <x:v>V005</x:v>
      </x:c>
      <x:c r="K123" s="1" t="str">
        <x:v>Camión pequeño</x:v>
      </x:c>
      <x:c r="L123" s="1" t="str">
        <x:v>RT-20260519-R005</x:v>
      </x:c>
      <x:c r="M123" s="1" t="str">
        <x:v>07:19</x:v>
      </x:c>
      <x:c r="N123" s="1" t="str">
        <x:v>07:31</x:v>
      </x:c>
      <x:c r="O123" s="1" t="n">
        <x:v>12</x:v>
      </x:c>
      <x:c r="P123" s="5" t="n">
        <x:f>ROUND(X123+Y123,2)</x:f>
        <x:v>76.04</x:v>
      </x:c>
      <x:c r="Q123" s="5" t="n">
        <x:f>ROUND(P123/Vehiculos!$E$6*Vehiculos!$F$6,2)</x:f>
        <x:v>362.38</x:v>
      </x:c>
      <x:c r="R123" s="1" t="str">
        <x:v>Entregado</x:v>
      </x:c>
      <x:c r="S123" s="1" t="str">
        <x:v>Media</x:v>
      </x:c>
      <x:c r="T123" s="1" t="n">
        <x:v>1</x:v>
      </x:c>
      <x:c r="U123" s="1" t="n">
        <x:v>1</x:v>
      </x:c>
      <x:c r="V123" s="5" t="n">
        <x:v>3651.95</x:v>
      </x:c>
      <x:c r="W123" s="1" t="str">
        <x:v>08:50</x:v>
      </x:c>
      <x:c r="X123" s="1" t="n">
        <x:v>6.04</x:v>
      </x:c>
      <x:c r="Y123" s="1" t="n">
        <x:f>Parametros_Operacion!$B$8*2</x:f>
        <x:v>70</x:v>
      </x:c>
    </x:row>
    <x:row r="124">
      <x:c r="A124" s="1" t="str">
        <x:v>P0153</x:v>
      </x:c>
      <x:c r="B124" s="6" t="n">
        <x:v>46161.31319444445</x:v>
      </x:c>
      <x:c r="C124" s="1" t="str">
        <x:v>C047</x:v>
      </x:c>
      <x:c r="D124" s="1" t="str">
        <x:v>Distribuidora El Faro</x:v>
      </x:c>
      <x:c r="E124" s="1" t="str">
        <x:v>La Masica</x:v>
      </x:c>
      <x:c r="F124" s="7" t="n">
        <x:v>15.62139902522154</x:v>
      </x:c>
      <x:c r="G124" s="7" t="n">
        <x:v>-86.69038794424819</x:v>
      </x:c>
      <x:c r="H124" s="1" t="str">
        <x:v>R004</x:v>
      </x:c>
      <x:c r="I124" s="1" t="str">
        <x:v>Daniela Cruz</x:v>
      </x:c>
      <x:c r="J124" s="1" t="str">
        <x:v>V004</x:v>
      </x:c>
      <x:c r="K124" s="1" t="str">
        <x:v>Pickup con carrocería</x:v>
      </x:c>
      <x:c r="L124" s="1" t="str">
        <x:v>RT-20260519-R004</x:v>
      </x:c>
      <x:c r="M124" s="1" t="str">
        <x:v>07:20</x:v>
      </x:c>
      <x:c r="N124" s="1" t="str">
        <x:v>07:31</x:v>
      </x:c>
      <x:c r="O124" s="1" t="n">
        <x:v>11</x:v>
      </x:c>
      <x:c r="P124" s="5" t="n">
        <x:f>ROUND(X124+Y124,2)</x:f>
        <x:v>87.62</x:v>
      </x:c>
      <x:c r="Q124" s="5" t="n">
        <x:f>ROUND(P124/Vehiculos!$E$5*Vehiculos!$F$5,2)</x:f>
        <x:v>318.15</x:v>
      </x:c>
      <x:c r="R124" s="1" t="str">
        <x:v>Entregado</x:v>
      </x:c>
      <x:c r="S124" s="1" t="str">
        <x:v>Media</x:v>
      </x:c>
      <x:c r="T124" s="1" t="n">
        <x:v>1</x:v>
      </x:c>
      <x:c r="U124" s="1" t="n">
        <x:v>1</x:v>
      </x:c>
      <x:c r="V124" s="5" t="n">
        <x:v>3164.58</x:v>
      </x:c>
      <x:c r="W124" s="1" t="str">
        <x:v>08:50</x:v>
      </x:c>
      <x:c r="X124" s="1" t="n">
        <x:v>5.22</x:v>
      </x:c>
      <x:c r="Y124" s="1" t="n">
        <x:f>Parametros_Operacion!$B$7*2</x:f>
        <x:v>82.4</x:v>
      </x:c>
    </x:row>
    <x:row r="125">
      <x:c r="A125" s="1" t="str">
        <x:v>P0143</x:v>
      </x:c>
      <x:c r="B125" s="6" t="n">
        <x:v>46161.34375</x:v>
      </x:c>
      <x:c r="C125" s="1" t="str">
        <x:v>C040</x:v>
      </x:c>
      <x:c r="D125" s="1" t="str">
        <x:v>Mercadito La Familia</x:v>
      </x:c>
      <x:c r="E125" s="1" t="str">
        <x:v>Arizona</x:v>
      </x:c>
      <x:c r="F125" s="7" t="n">
        <x:v>15.60480443071797</x:v>
      </x:c>
      <x:c r="G125" s="7" t="n">
        <x:v>-87.339316667913</x:v>
      </x:c>
      <x:c r="H125" s="1" t="str">
        <x:v>R006</x:v>
      </x:c>
      <x:c r="I125" s="1" t="str">
        <x:v>Kevin Flores</x:v>
      </x:c>
      <x:c r="J125" s="1" t="str">
        <x:v>V006</x:v>
      </x:c>
      <x:c r="K125" s="1" t="str">
        <x:v>Pickup con carrocería</x:v>
      </x:c>
      <x:c r="L125" s="1" t="str">
        <x:v>RT-20260519-R006</x:v>
      </x:c>
      <x:c r="M125" s="1" t="str">
        <x:v>08:03</x:v>
      </x:c>
      <x:c r="N125" s="1" t="str">
        <x:v>08:15</x:v>
      </x:c>
      <x:c r="O125" s="1" t="n">
        <x:v>12</x:v>
      </x:c>
      <x:c r="P125" s="5" t="n">
        <x:f>ROUND(X125+Y125,2)</x:f>
        <x:v>75.65</x:v>
      </x:c>
      <x:c r="Q125" s="5" t="n">
        <x:f>ROUND(P125/Vehiculos!$E$7*Vehiculos!$F$7,2)</x:f>
        <x:v>288.42</x:v>
      </x:c>
      <x:c r="R125" s="1" t="str">
        <x:v>Entregado</x:v>
      </x:c>
      <x:c r="S125" s="1" t="str">
        <x:v>Media</x:v>
      </x:c>
      <x:c r="T125" s="1" t="n">
        <x:v>1</x:v>
      </x:c>
      <x:c r="U125" s="1" t="n">
        <x:v>1</x:v>
      </x:c>
      <x:c r="V125" s="5" t="n">
        <x:v>5834.25</x:v>
      </x:c>
      <x:c r="W125" s="1" t="str">
        <x:v>08:50</x:v>
      </x:c>
      <x:c r="X125" s="1" t="n">
        <x:v>3.15</x:v>
      </x:c>
      <x:c r="Y125" s="1" t="n">
        <x:f>Parametros_Operacion!$B$2*1</x:f>
        <x:v>72.5</x:v>
      </x:c>
    </x:row>
    <x:row r="126">
      <x:c r="A126" s="1" t="str">
        <x:v>P0155</x:v>
      </x:c>
      <x:c r="B126" s="6" t="n">
        <x:v>46161.35277777778</x:v>
      </x:c>
      <x:c r="C126" s="1" t="str">
        <x:v>C060</x:v>
      </x:c>
      <x:c r="D126" s="1" t="str">
        <x:v>Mercadito La Familia</x:v>
      </x:c>
      <x:c r="E126" s="1" t="str">
        <x:v>Arizona</x:v>
      </x:c>
      <x:c r="F126" s="7" t="n">
        <x:v>15.61974440819844</x:v>
      </x:c>
      <x:c r="G126" s="7" t="n">
        <x:v>-87.36335246769889</x:v>
      </x:c>
      <x:c r="H126" s="1" t="str">
        <x:v>R006</x:v>
      </x:c>
      <x:c r="I126" s="1" t="str">
        <x:v>Kevin Flores</x:v>
      </x:c>
      <x:c r="J126" s="1" t="str">
        <x:v>V006</x:v>
      </x:c>
      <x:c r="K126" s="1" t="str">
        <x:v>Pickup con carrocería</x:v>
      </x:c>
      <x:c r="L126" s="1" t="str">
        <x:v>RT-20260519-R006</x:v>
      </x:c>
      <x:c r="M126" s="1" t="str">
        <x:v>08:15</x:v>
      </x:c>
      <x:c r="N126" s="1" t="str">
        <x:v>08:28</x:v>
      </x:c>
      <x:c r="O126" s="1" t="n">
        <x:v>13</x:v>
      </x:c>
      <x:c r="P126" s="5" t="n">
        <x:f>ROUND(X126+Y126,2)</x:f>
        <x:v>77.02</x:v>
      </x:c>
      <x:c r="Q126" s="5" t="n">
        <x:f>ROUND(P126/Vehiculos!$E$7*Vehiculos!$F$7,2)</x:f>
        <x:v>293.64</x:v>
      </x:c>
      <x:c r="R126" s="1" t="str">
        <x:v>Entregado</x:v>
      </x:c>
      <x:c r="S126" s="1" t="str">
        <x:v>Media</x:v>
      </x:c>
      <x:c r="T126" s="1" t="n">
        <x:v>2</x:v>
      </x:c>
      <x:c r="U126" s="1" t="n">
        <x:v>2</x:v>
      </x:c>
      <x:c r="V126" s="5" t="n">
        <x:v>4753.26</x:v>
      </x:c>
      <x:c r="W126" s="1" t="str">
        <x:v>08:50</x:v>
      </x:c>
      <x:c r="X126" s="1" t="n">
        <x:v>4.52</x:v>
      </x:c>
      <x:c r="Y126" s="1" t="n">
        <x:f>Parametros_Operacion!$B$2*1</x:f>
        <x:v>72.5</x:v>
      </x:c>
    </x:row>
    <x:row r="127">
      <x:c r="A127" s="1" t="str">
        <x:v>P0168</x:v>
      </x:c>
      <x:c r="B127" s="6" t="n">
        <x:v>46161.36875</x:v>
      </x:c>
      <x:c r="C127" s="1" t="str">
        <x:v>C013</x:v>
      </x:c>
      <x:c r="D127" s="1" t="str">
        <x:v>Mercadito Doña Marta</x:v>
      </x:c>
      <x:c r="E127" s="1" t="str">
        <x:v>Tela</x:v>
      </x:c>
      <x:c r="F127" s="7" t="n">
        <x:v>15.75505922402737</x:v>
      </x:c>
      <x:c r="G127" s="7" t="n">
        <x:v>-87.47373987089004</x:v>
      </x:c>
      <x:c r="H127" s="1" t="str">
        <x:v>R002</x:v>
      </x:c>
      <x:c r="I127" s="1" t="str">
        <x:v>Ana López</x:v>
      </x:c>
      <x:c r="J127" s="1" t="str">
        <x:v>V002</x:v>
      </x:c>
      <x:c r="K127" s="1" t="str">
        <x:v>Pickup con carrocería</x:v>
      </x:c>
      <x:c r="L127" s="1" t="str">
        <x:v>RT-20260519-R002</x:v>
      </x:c>
      <x:c r="M127" s="1" t="str">
        <x:v>08:38</x:v>
      </x:c>
      <x:c r="N127" s="1" t="str">
        <x:v>08:51</x:v>
      </x:c>
      <x:c r="O127" s="1" t="n">
        <x:v>13</x:v>
      </x:c>
      <x:c r="P127" s="5" t="n">
        <x:f>ROUND(X127+Y127,2)</x:f>
        <x:v>212.94</x:v>
      </x:c>
      <x:c r="Q127" s="5" t="n">
        <x:f>ROUND(P127/Vehiculos!$E$3*Vehiculos!$F$3,2)</x:f>
        <x:v>773.18</x:v>
      </x:c>
      <x:c r="R127" s="1" t="str">
        <x:v>Retrasado</x:v>
      </x:c>
      <x:c r="S127" s="1" t="str">
        <x:v>Media</x:v>
      </x:c>
      <x:c r="T127" s="1" t="n">
        <x:v>1</x:v>
      </x:c>
      <x:c r="U127" s="1" t="n">
        <x:v>1</x:v>
      </x:c>
      <x:c r="V127" s="5" t="n">
        <x:v>940.91</x:v>
      </x:c>
      <x:c r="W127" s="1" t="str">
        <x:v>08:50</x:v>
      </x:c>
      <x:c r="X127" s="1" t="n">
        <x:v>8.34</x:v>
      </x:c>
      <x:c r="Y127" s="1" t="n">
        <x:f>Parametros_Operacion!$B$9*2</x:f>
        <x:v>204.6</x:v>
      </x:c>
    </x:row>
    <x:row r="128">
      <x:c r="A128" s="1" t="str">
        <x:v>P0157</x:v>
      </x:c>
      <x:c r="B128" s="6" t="n">
        <x:v>46162.28055555555</x:v>
      </x:c>
      <x:c r="C128" s="1" t="str">
        <x:v>C019</x:v>
      </x:c>
      <x:c r="D128" s="1" t="str">
        <x:v>Pulpería El Centroamericano</x:v>
      </x:c>
      <x:c r="E128" s="1" t="str">
        <x:v>La Ceiba</x:v>
      </x:c>
      <x:c r="F128" s="7" t="n">
        <x:v>15.7980269607938</x:v>
      </x:c>
      <x:c r="G128" s="7" t="n">
        <x:v>-86.77402528336896</x:v>
      </x:c>
      <x:c r="H128" s="1" t="str">
        <x:v>R001</x:v>
      </x:c>
      <x:c r="I128" s="1" t="str">
        <x:v>Carlos Mejía</x:v>
      </x:c>
      <x:c r="J128" s="1" t="str">
        <x:v>V001</x:v>
      </x:c>
      <x:c r="K128" s="1" t="str">
        <x:v>Pickup con carrocería</x:v>
      </x:c>
      <x:c r="L128" s="1" t="str">
        <x:v>RT-20260520-R001</x:v>
      </x:c>
      <x:c r="M128" s="1" t="str">
        <x:v>06:30</x:v>
      </x:c>
      <x:c r="N128" s="1" t="str">
        <x:v>06:44</x:v>
      </x:c>
      <x:c r="O128" s="1" t="n">
        <x:v>14</x:v>
      </x:c>
      <x:c r="P128" s="5" t="n">
        <x:f>ROUND(X128+Y128,2)</x:f>
        <x:v>5.31</x:v>
      </x:c>
      <x:c r="Q128" s="5" t="n">
        <x:f>ROUND(P128/Vehiculos!$E$2*Vehiculos!$F$2,2)</x:f>
        <x:v>18.4</x:v>
      </x:c>
      <x:c r="R128" s="1" t="str">
        <x:v>Entregado</x:v>
      </x:c>
      <x:c r="S128" s="1" t="str">
        <x:v>Media</x:v>
      </x:c>
      <x:c r="T128" s="1" t="n">
        <x:v>1</x:v>
      </x:c>
      <x:c r="U128" s="1" t="n">
        <x:v>1</x:v>
      </x:c>
      <x:c r="V128" s="5" t="n">
        <x:v>4734.95</x:v>
      </x:c>
      <x:c r="W128" s="1" t="str">
        <x:v>08:50</x:v>
      </x:c>
      <x:c r="X128" s="1" t="n">
        <x:v>5.31</x:v>
      </x:c>
      <x:c r="Y128" s="1" t="n">
        <x:f>Parametros_Operacion!$B$6*0</x:f>
        <x:v>0</x:v>
      </x:c>
    </x:row>
    <x:row r="129">
      <x:c r="A129" s="1" t="str">
        <x:v>P0030</x:v>
      </x:c>
      <x:c r="B129" s="6" t="n">
        <x:v>46162.294444444444</x:v>
      </x:c>
      <x:c r="C129" s="1" t="str">
        <x:v>C053</x:v>
      </x:c>
      <x:c r="D129" s="1" t="str">
        <x:v>Mercadito Doña Marta</x:v>
      </x:c>
      <x:c r="E129" s="1" t="str">
        <x:v>La Ceiba</x:v>
      </x:c>
      <x:c r="F129" s="7" t="n">
        <x:v>15.74017612525048</x:v>
      </x:c>
      <x:c r="G129" s="7" t="n">
        <x:v>-86.8181117726974</x:v>
      </x:c>
      <x:c r="H129" s="1" t="str">
        <x:v>R001</x:v>
      </x:c>
      <x:c r="I129" s="1" t="str">
        <x:v>Carlos Mejía</x:v>
      </x:c>
      <x:c r="J129" s="1" t="str">
        <x:v>V001</x:v>
      </x:c>
      <x:c r="K129" s="1" t="str">
        <x:v>Pickup con carrocería</x:v>
      </x:c>
      <x:c r="L129" s="1" t="str">
        <x:v>RT-20260520-R001</x:v>
      </x:c>
      <x:c r="M129" s="1" t="str">
        <x:v>06:44</x:v>
      </x:c>
      <x:c r="N129" s="1" t="str">
        <x:v>07:04</x:v>
      </x:c>
      <x:c r="O129" s="1" t="n">
        <x:v>20</x:v>
      </x:c>
      <x:c r="P129" s="5" t="n">
        <x:f>ROUND(X129+Y129,2)</x:f>
        <x:v>14.63</x:v>
      </x:c>
      <x:c r="Q129" s="5" t="n">
        <x:f>ROUND(P129/Vehiculos!$E$2*Vehiculos!$F$2,2)</x:f>
        <x:v>50.71</x:v>
      </x:c>
      <x:c r="R129" s="1" t="str">
        <x:v>Entregado</x:v>
      </x:c>
      <x:c r="S129" s="1" t="str">
        <x:v>Media</x:v>
      </x:c>
      <x:c r="T129" s="1" t="n">
        <x:v>2</x:v>
      </x:c>
      <x:c r="U129" s="1" t="n">
        <x:v>2</x:v>
      </x:c>
      <x:c r="V129" s="5" t="n">
        <x:v>5412.73</x:v>
      </x:c>
      <x:c r="W129" s="1" t="str">
        <x:v>08:50</x:v>
      </x:c>
      <x:c r="X129" s="1" t="n">
        <x:v>14.63</x:v>
      </x:c>
      <x:c r="Y129" s="1" t="n">
        <x:f>Parametros_Operacion!$B$6*0</x:f>
        <x:v>0</x:v>
      </x:c>
    </x:row>
    <x:row r="130">
      <x:c r="A130" s="1" t="str">
        <x:v>P0113</x:v>
      </x:c>
      <x:c r="B130" s="6" t="n">
        <x:v>46162.29583333333</x:v>
      </x:c>
      <x:c r="C130" s="1" t="str">
        <x:v>C036</x:v>
      </x:c>
      <x:c r="D130" s="1" t="str">
        <x:v>Pulpería Los Amigos</x:v>
      </x:c>
      <x:c r="E130" s="1" t="str">
        <x:v>El Porvenir</x:v>
      </x:c>
      <x:c r="F130" s="7" t="n">
        <x:v>15.73514406884404</x:v>
      </x:c>
      <x:c r="G130" s="7" t="n">
        <x:v>-86.860694251453</x:v>
      </x:c>
      <x:c r="H130" s="1" t="str">
        <x:v>R008</x:v>
      </x:c>
      <x:c r="I130" s="1" t="str">
        <x:v>Jorge Castro</x:v>
      </x:c>
      <x:c r="J130" s="1" t="str">
        <x:v>V008</x:v>
      </x:c>
      <x:c r="K130" s="1" t="str">
        <x:v>Camión pequeño</x:v>
      </x:c>
      <x:c r="L130" s="1" t="str">
        <x:v>RT-20260520-R008</x:v>
      </x:c>
      <x:c r="M130" s="1" t="str">
        <x:v>06:54</x:v>
      </x:c>
      <x:c r="N130" s="1" t="str">
        <x:v>07:06</x:v>
      </x:c>
      <x:c r="O130" s="1" t="n">
        <x:v>12</x:v>
      </x:c>
      <x:c r="P130" s="5" t="n">
        <x:f>ROUND(X130+Y130,2)</x:f>
        <x:v>19.16</x:v>
      </x:c>
      <x:c r="Q130" s="5" t="n">
        <x:f>ROUND(P130/Vehiculos!$E$9*Vehiculos!$F$9,2)</x:f>
        <x:v>97.4</x:v>
      </x:c>
      <x:c r="R130" s="1" t="str">
        <x:v>Entregado</x:v>
      </x:c>
      <x:c r="S130" s="1" t="str">
        <x:v>Media</x:v>
      </x:c>
      <x:c r="T130" s="1" t="n">
        <x:v>1</x:v>
      </x:c>
      <x:c r="U130" s="1" t="n">
        <x:v>1</x:v>
      </x:c>
      <x:c r="V130" s="5" t="n">
        <x:v>1726.9</x:v>
      </x:c>
      <x:c r="W130" s="1" t="str">
        <x:v>08:50</x:v>
      </x:c>
      <x:c r="X130" s="1" t="n">
        <x:v>2.66</x:v>
      </x:c>
      <x:c r="Y130" s="1" t="n">
        <x:f>Parametros_Operacion!$B$3*1</x:f>
        <x:v>16.5</x:v>
      </x:c>
    </x:row>
    <x:row r="131">
      <x:c r="A131" s="1" t="str">
        <x:v>P0147</x:v>
      </x:c>
      <x:c r="B131" s="6" t="n">
        <x:v>46162.30694444444</x:v>
      </x:c>
      <x:c r="C131" s="1" t="str">
        <x:v>C033</x:v>
      </x:c>
      <x:c r="D131" s="1" t="str">
        <x:v>Mercadito Doña Marta</x:v>
      </x:c>
      <x:c r="E131" s="1" t="str">
        <x:v>El Porvenir</x:v>
      </x:c>
      <x:c r="F131" s="7" t="n">
        <x:v>15.75836021366635</x:v>
      </x:c>
      <x:c r="G131" s="7" t="n">
        <x:v>-86.89260303911311</x:v>
      </x:c>
      <x:c r="H131" s="1" t="str">
        <x:v>R008</x:v>
      </x:c>
      <x:c r="I131" s="1" t="str">
        <x:v>Jorge Castro</x:v>
      </x:c>
      <x:c r="J131" s="1" t="str">
        <x:v>V008</x:v>
      </x:c>
      <x:c r="K131" s="1" t="str">
        <x:v>Camión pequeño</x:v>
      </x:c>
      <x:c r="L131" s="1" t="str">
        <x:v>RT-20260520-R008</x:v>
      </x:c>
      <x:c r="M131" s="1" t="str">
        <x:v>07:06</x:v>
      </x:c>
      <x:c r="N131" s="1" t="str">
        <x:v>07:22</x:v>
      </x:c>
      <x:c r="O131" s="1" t="n">
        <x:v>16</x:v>
      </x:c>
      <x:c r="P131" s="5" t="n">
        <x:f>ROUND(X131+Y131,2)</x:f>
        <x:v>24.75</x:v>
      </x:c>
      <x:c r="Q131" s="5" t="n">
        <x:f>ROUND(P131/Vehiculos!$E$9*Vehiculos!$F$9,2)</x:f>
        <x:v>125.81</x:v>
      </x:c>
      <x:c r="R131" s="1" t="str">
        <x:v>Entregado</x:v>
      </x:c>
      <x:c r="S131" s="1" t="str">
        <x:v>Baja</x:v>
      </x:c>
      <x:c r="T131" s="1" t="n">
        <x:v>2</x:v>
      </x:c>
      <x:c r="U131" s="1" t="n">
        <x:v>2</x:v>
      </x:c>
      <x:c r="V131" s="5" t="n">
        <x:v>2423.12</x:v>
      </x:c>
      <x:c r="W131" s="1" t="str">
        <x:v>09:30</x:v>
      </x:c>
      <x:c r="X131" s="1" t="n">
        <x:v>8.25</x:v>
      </x:c>
      <x:c r="Y131" s="1" t="n">
        <x:f>Parametros_Operacion!$B$3*1</x:f>
        <x:v>16.5</x:v>
      </x:c>
    </x:row>
    <x:row r="132">
      <x:c r="A132" s="1" t="str">
        <x:v>P0140</x:v>
      </x:c>
      <x:c r="B132" s="6" t="n">
        <x:v>46162.31319444445</x:v>
      </x:c>
      <x:c r="C132" s="1" t="str">
        <x:v>C050</x:v>
      </x:c>
      <x:c r="D132" s="1" t="str">
        <x:v>Comercial La Costa</x:v>
      </x:c>
      <x:c r="E132" s="1" t="str">
        <x:v>La Masica</x:v>
      </x:c>
      <x:c r="F132" s="7" t="n">
        <x:v>15.64284820490915</x:v>
      </x:c>
      <x:c r="G132" s="7" t="n">
        <x:v>-86.70339478481962</x:v>
      </x:c>
      <x:c r="H132" s="1" t="str">
        <x:v>R004</x:v>
      </x:c>
      <x:c r="I132" s="1" t="str">
        <x:v>Daniela Cruz</x:v>
      </x:c>
      <x:c r="J132" s="1" t="str">
        <x:v>V004</x:v>
      </x:c>
      <x:c r="K132" s="1" t="str">
        <x:v>Pickup con carrocería</x:v>
      </x:c>
      <x:c r="L132" s="1" t="str">
        <x:v>RT-20260520-R004</x:v>
      </x:c>
      <x:c r="M132" s="1" t="str">
        <x:v>07:20</x:v>
      </x:c>
      <x:c r="N132" s="1" t="str">
        <x:v>07:31</x:v>
      </x:c>
      <x:c r="O132" s="1" t="n">
        <x:v>11</x:v>
      </x:c>
      <x:c r="P132" s="5" t="n">
        <x:f>ROUND(X132+Y132,2)</x:f>
        <x:v>43.7</x:v>
      </x:c>
      <x:c r="Q132" s="5" t="n">
        <x:f>ROUND(P132/Vehiculos!$E$5*Vehiculos!$F$5,2)</x:f>
        <x:v>158.67</x:v>
      </x:c>
      <x:c r="R132" s="1" t="str">
        <x:v>Entregado</x:v>
      </x:c>
      <x:c r="S132" s="1" t="str">
        <x:v>Baja</x:v>
      </x:c>
      <x:c r="T132" s="1" t="n">
        <x:v>1</x:v>
      </x:c>
      <x:c r="U132" s="1" t="n">
        <x:v>3</x:v>
      </x:c>
      <x:c r="V132" s="5" t="n">
        <x:v>5508.69</x:v>
      </x:c>
      <x:c r="W132" s="1" t="str">
        <x:v>09:30</x:v>
      </x:c>
      <x:c r="X132" s="1" t="n">
        <x:v>2.5</x:v>
      </x:c>
      <x:c r="Y132" s="1" t="n">
        <x:f>Parametros_Operacion!$B$7*1</x:f>
        <x:v>41.2</x:v>
      </x:c>
    </x:row>
    <x:row r="133">
      <x:c r="A133" s="1" t="str">
        <x:v>P0160</x:v>
      </x:c>
      <x:c r="B133" s="6" t="n">
        <x:v>46162.32361111111</x:v>
      </x:c>
      <x:c r="C133" s="1" t="str">
        <x:v>C012</x:v>
      </x:c>
      <x:c r="D133" s="1" t="str">
        <x:v>Mini Súper Atlántida</x:v>
      </x:c>
      <x:c r="E133" s="1" t="str">
        <x:v>La Masica</x:v>
      </x:c>
      <x:c r="F133" s="7" t="n">
        <x:v>15.61789367249307</x:v>
      </x:c>
      <x:c r="G133" s="7" t="n">
        <x:v>-86.73642461377005</x:v>
      </x:c>
      <x:c r="H133" s="1" t="str">
        <x:v>R004</x:v>
      </x:c>
      <x:c r="I133" s="1" t="str">
        <x:v>Daniela Cruz</x:v>
      </x:c>
      <x:c r="J133" s="1" t="str">
        <x:v>V004</x:v>
      </x:c>
      <x:c r="K133" s="1" t="str">
        <x:v>Pickup con carrocería</x:v>
      </x:c>
      <x:c r="L133" s="1" t="str">
        <x:v>RT-20260520-R004</x:v>
      </x:c>
      <x:c r="M133" s="1" t="str">
        <x:v>07:31</x:v>
      </x:c>
      <x:c r="N133" s="1" t="str">
        <x:v>07:46</x:v>
      </x:c>
      <x:c r="O133" s="1" t="n">
        <x:v>15</x:v>
      </x:c>
      <x:c r="P133" s="5" t="n">
        <x:f>ROUND(X133+Y133,2)</x:f>
        <x:v>5.62</x:v>
      </x:c>
      <x:c r="Q133" s="5" t="n">
        <x:f>ROUND(P133/Vehiculos!$E$5*Vehiculos!$F$5,2)</x:f>
        <x:v>20.41</x:v>
      </x:c>
      <x:c r="R133" s="1" t="str">
        <x:v>Entregado</x:v>
      </x:c>
      <x:c r="S133" s="1" t="str">
        <x:v>Media</x:v>
      </x:c>
      <x:c r="T133" s="1" t="n">
        <x:v>2</x:v>
      </x:c>
      <x:c r="U133" s="1" t="n">
        <x:v>1</x:v>
      </x:c>
      <x:c r="V133" s="5" t="n">
        <x:v>3227.84</x:v>
      </x:c>
      <x:c r="W133" s="1" t="str">
        <x:v>08:50</x:v>
      </x:c>
      <x:c r="X133" s="1" t="n">
        <x:v>5.62</x:v>
      </x:c>
      <x:c r="Y133" s="1" t="n">
        <x:f>Parametros_Operacion!$B$7*0</x:f>
        <x:v>0</x:v>
      </x:c>
    </x:row>
    <x:row r="134">
      <x:c r="A134" s="1" t="str">
        <x:v>P0127</x:v>
      </x:c>
      <x:c r="B134" s="6" t="n">
        <x:v>46162.33611111111</x:v>
      </x:c>
      <x:c r="C134" s="1" t="str">
        <x:v>C022</x:v>
      </x:c>
      <x:c r="D134" s="1" t="str">
        <x:v>Mini Súper La Bendición</x:v>
      </x:c>
      <x:c r="E134" s="1" t="str">
        <x:v>La Masica</x:v>
      </x:c>
      <x:c r="F134" s="7" t="n">
        <x:v>15.64119141911907</x:v>
      </x:c>
      <x:c r="G134" s="7" t="n">
        <x:v>-86.68050338819044</x:v>
      </x:c>
      <x:c r="H134" s="1" t="str">
        <x:v>R004</x:v>
      </x:c>
      <x:c r="I134" s="1" t="str">
        <x:v>Daniela Cruz</x:v>
      </x:c>
      <x:c r="J134" s="1" t="str">
        <x:v>V004</x:v>
      </x:c>
      <x:c r="K134" s="1" t="str">
        <x:v>Pickup con carrocería</x:v>
      </x:c>
      <x:c r="L134" s="1" t="str">
        <x:v>RT-20260520-R004</x:v>
      </x:c>
      <x:c r="M134" s="1" t="str">
        <x:v>07:46</x:v>
      </x:c>
      <x:c r="N134" s="1" t="str">
        <x:v>08:04</x:v>
      </x:c>
      <x:c r="O134" s="1" t="n">
        <x:v>18</x:v>
      </x:c>
      <x:c r="P134" s="5" t="n">
        <x:f>ROUND(X134+Y134,2)</x:f>
        <x:v>8.16</x:v>
      </x:c>
      <x:c r="Q134" s="5" t="n">
        <x:f>ROUND(P134/Vehiculos!$E$5*Vehiculos!$F$5,2)</x:f>
        <x:v>29.63</x:v>
      </x:c>
      <x:c r="R134" s="1" t="str">
        <x:v>Entregado</x:v>
      </x:c>
      <x:c r="S134" s="1" t="str">
        <x:v>Media</x:v>
      </x:c>
      <x:c r="T134" s="1" t="n">
        <x:v>3</x:v>
      </x:c>
      <x:c r="U134" s="1" t="n">
        <x:v>4</x:v>
      </x:c>
      <x:c r="V134" s="5" t="n">
        <x:v>4152.21</x:v>
      </x:c>
      <x:c r="W134" s="1" t="str">
        <x:v>08:50</x:v>
      </x:c>
      <x:c r="X134" s="1" t="n">
        <x:v>8.16</x:v>
      </x:c>
      <x:c r="Y134" s="1" t="n">
        <x:f>Parametros_Operacion!$B$7*0</x:f>
        <x:v>0</x:v>
      </x:c>
    </x:row>
    <x:row r="135">
      <x:c r="A135" s="1" t="str">
        <x:v>P0173</x:v>
      </x:c>
      <x:c r="B135" s="6" t="n">
        <x:v>46162.34305555555</x:v>
      </x:c>
      <x:c r="C135" s="1" t="str">
        <x:v>C010</x:v>
      </x:c>
      <x:c r="D135" s="1" t="str">
        <x:v>Comercial La Costa</x:v>
      </x:c>
      <x:c r="E135" s="1" t="str">
        <x:v>Arizona</x:v>
      </x:c>
      <x:c r="F135" s="7" t="n">
        <x:v>15.61871939198217</x:v>
      </x:c>
      <x:c r="G135" s="7" t="n">
        <x:v>-87.37634942061808</x:v>
      </x:c>
      <x:c r="H135" s="1" t="str">
        <x:v>R006</x:v>
      </x:c>
      <x:c r="I135" s="1" t="str">
        <x:v>Kevin Flores</x:v>
      </x:c>
      <x:c r="J135" s="1" t="str">
        <x:v>V006</x:v>
      </x:c>
      <x:c r="K135" s="1" t="str">
        <x:v>Pickup con carrocería</x:v>
      </x:c>
      <x:c r="L135" s="1" t="str">
        <x:v>RT-20260520-R006</x:v>
      </x:c>
      <x:c r="M135" s="1" t="str">
        <x:v>08:03</x:v>
      </x:c>
      <x:c r="N135" s="1" t="str">
        <x:v>08:14</x:v>
      </x:c>
      <x:c r="O135" s="1" t="n">
        <x:v>11</x:v>
      </x:c>
      <x:c r="P135" s="5" t="n">
        <x:f>ROUND(X135+Y135,2)</x:f>
        <x:v>74.81</x:v>
      </x:c>
      <x:c r="Q135" s="5" t="n">
        <x:f>ROUND(P135/Vehiculos!$E$7*Vehiculos!$F$7,2)</x:f>
        <x:v>285.22</x:v>
      </x:c>
      <x:c r="R135" s="1" t="str">
        <x:v>Entregado</x:v>
      </x:c>
      <x:c r="S135" s="1" t="str">
        <x:v>Media</x:v>
      </x:c>
      <x:c r="T135" s="1" t="n">
        <x:v>1</x:v>
      </x:c>
      <x:c r="U135" s="1" t="n">
        <x:v>1</x:v>
      </x:c>
      <x:c r="V135" s="5" t="n">
        <x:v>2110.96</x:v>
      </x:c>
      <x:c r="W135" s="1" t="str">
        <x:v>08:50</x:v>
      </x:c>
      <x:c r="X135" s="1" t="n">
        <x:v>2.31</x:v>
      </x:c>
      <x:c r="Y135" s="1" t="n">
        <x:f>Parametros_Operacion!$B$2*1</x:f>
        <x:v>72.5</x:v>
      </x:c>
    </x:row>
    <x:row r="136">
      <x:c r="A136" s="1" t="str">
        <x:v>P0100</x:v>
      </x:c>
      <x:c r="B136" s="6" t="n">
        <x:v>46162.34652777778</x:v>
      </x:c>
      <x:c r="C136" s="1" t="str">
        <x:v>C018</x:v>
      </x:c>
      <x:c r="D136" s="1" t="str">
        <x:v>Comercial Caribe</x:v>
      </x:c>
      <x:c r="E136" s="1" t="str">
        <x:v>Esparta</x:v>
      </x:c>
      <x:c r="F136" s="7" t="n">
        <x:v>15.66265844998048</x:v>
      </x:c>
      <x:c r="G136" s="7" t="n">
        <x:v>-87.2525029728019</x:v>
      </x:c>
      <x:c r="H136" s="1" t="str">
        <x:v>R007</x:v>
      </x:c>
      <x:c r="I136" s="1" t="str">
        <x:v>María Hernández</x:v>
      </x:c>
      <x:c r="J136" s="1" t="str">
        <x:v>V007</x:v>
      </x:c>
      <x:c r="K136" s="1" t="str">
        <x:v>Pickup con carrocería</x:v>
      </x:c>
      <x:c r="L136" s="1" t="str">
        <x:v>RT-20260520-R007</x:v>
      </x:c>
      <x:c r="M136" s="1" t="str">
        <x:v>08:08</x:v>
      </x:c>
      <x:c r="N136" s="1" t="str">
        <x:v>08:19</x:v>
      </x:c>
      <x:c r="O136" s="1" t="n">
        <x:v>11</x:v>
      </x:c>
      <x:c r="P136" s="5" t="n">
        <x:f>ROUND(X136+Y136,2)</x:f>
        <x:v>155.84</x:v>
      </x:c>
      <x:c r="Q136" s="5" t="n">
        <x:f>ROUND(P136/Vehiculos!$E$8*Vehiculos!$F$8,2)</x:f>
        <x:v>594.14</x:v>
      </x:c>
      <x:c r="R136" s="1" t="str">
        <x:v>Entregado</x:v>
      </x:c>
      <x:c r="S136" s="1" t="str">
        <x:v>Baja</x:v>
      </x:c>
      <x:c r="T136" s="1" t="n">
        <x:v>1</x:v>
      </x:c>
      <x:c r="U136" s="1" t="n">
        <x:v>1</x:v>
      </x:c>
      <x:c r="V136" s="5" t="n">
        <x:v>2635.85</x:v>
      </x:c>
      <x:c r="W136" s="1" t="str">
        <x:v>09:30</x:v>
      </x:c>
      <x:c r="X136" s="1" t="n">
        <x:v>4.84</x:v>
      </x:c>
      <x:c r="Y136" s="1" t="n">
        <x:f>Parametros_Operacion!$B$4*2</x:f>
        <x:v>151</x:v>
      </x:c>
    </x:row>
    <x:row r="137">
      <x:c r="A137" s="1" t="str">
        <x:v>P0172</x:v>
      </x:c>
      <x:c r="B137" s="6" t="n">
        <x:v>46162.34861111111</x:v>
      </x:c>
      <x:c r="C137" s="1" t="str">
        <x:v>C012</x:v>
      </x:c>
      <x:c r="D137" s="1" t="str">
        <x:v>Mini Súper Atlántida</x:v>
      </x:c>
      <x:c r="E137" s="1" t="str">
        <x:v>La Masica</x:v>
      </x:c>
      <x:c r="F137" s="7" t="n">
        <x:v>15.61789367249307</x:v>
      </x:c>
      <x:c r="G137" s="7" t="n">
        <x:v>-86.73642461377005</x:v>
      </x:c>
      <x:c r="H137" s="1" t="str">
        <x:v>R004</x:v>
      </x:c>
      <x:c r="I137" s="1" t="str">
        <x:v>Daniela Cruz</x:v>
      </x:c>
      <x:c r="J137" s="1" t="str">
        <x:v>V004</x:v>
      </x:c>
      <x:c r="K137" s="1" t="str">
        <x:v>Pickup con carrocería</x:v>
      </x:c>
      <x:c r="L137" s="1" t="str">
        <x:v>RT-20260520-R004</x:v>
      </x:c>
      <x:c r="M137" s="1" t="str">
        <x:v>08:04</x:v>
      </x:c>
      <x:c r="N137" s="1" t="str">
        <x:v>08:22</x:v>
      </x:c>
      <x:c r="O137" s="1" t="n">
        <x:v>18</x:v>
      </x:c>
      <x:c r="P137" s="5" t="n">
        <x:f>ROUND(X137+Y137,2)</x:f>
        <x:v>53.15</x:v>
      </x:c>
      <x:c r="Q137" s="5" t="n">
        <x:f>ROUND(P137/Vehiculos!$E$5*Vehiculos!$F$5,2)</x:f>
        <x:v>192.99</x:v>
      </x:c>
      <x:c r="R137" s="1" t="str">
        <x:v>Entregado</x:v>
      </x:c>
      <x:c r="S137" s="1" t="str">
        <x:v>Media</x:v>
      </x:c>
      <x:c r="T137" s="1" t="n">
        <x:v>4</x:v>
      </x:c>
      <x:c r="U137" s="1" t="n">
        <x:v>2</x:v>
      </x:c>
      <x:c r="V137" s="5" t="n">
        <x:v>1441.78</x:v>
      </x:c>
      <x:c r="W137" s="1" t="str">
        <x:v>08:50</x:v>
      </x:c>
      <x:c r="X137" s="1" t="n">
        <x:v>11.95</x:v>
      </x:c>
      <x:c r="Y137" s="1" t="n">
        <x:f>Parametros_Operacion!$B$7*1</x:f>
        <x:v>41.2</x:v>
      </x:c>
    </x:row>
    <x:row r="138">
      <x:c r="A138" s="1" t="str">
        <x:v>P0136</x:v>
      </x:c>
      <x:c r="B138" s="6" t="n">
        <x:v>46162.350694444445</x:v>
      </x:c>
      <x:c r="C138" s="1" t="str">
        <x:v>C039</x:v>
      </x:c>
      <x:c r="D138" s="1" t="str">
        <x:v>Pulpería El Centroamericano</x:v>
      </x:c>
      <x:c r="E138" s="1" t="str">
        <x:v>Arizona</x:v>
      </x:c>
      <x:c r="F138" s="7" t="n">
        <x:v>15.60052974847786</x:v>
      </x:c>
      <x:c r="G138" s="7" t="n">
        <x:v>-87.3798685955568</x:v>
      </x:c>
      <x:c r="H138" s="1" t="str">
        <x:v>R006</x:v>
      </x:c>
      <x:c r="I138" s="1" t="str">
        <x:v>Kevin Flores</x:v>
      </x:c>
      <x:c r="J138" s="1" t="str">
        <x:v>V006</x:v>
      </x:c>
      <x:c r="K138" s="1" t="str">
        <x:v>Pickup con carrocería</x:v>
      </x:c>
      <x:c r="L138" s="1" t="str">
        <x:v>RT-20260520-R006</x:v>
      </x:c>
      <x:c r="M138" s="1" t="str">
        <x:v>08:14</x:v>
      </x:c>
      <x:c r="N138" s="1" t="str">
        <x:v>08:25</x:v>
      </x:c>
      <x:c r="O138" s="1" t="n">
        <x:v>11</x:v>
      </x:c>
      <x:c r="P138" s="5" t="n">
        <x:f>ROUND(X138+Y138,2)</x:f>
        <x:v>78.65</x:v>
      </x:c>
      <x:c r="Q138" s="5" t="n">
        <x:f>ROUND(P138/Vehiculos!$E$7*Vehiculos!$F$7,2)</x:f>
        <x:v>299.86</x:v>
      </x:c>
      <x:c r="R138" s="1" t="str">
        <x:v>Entregado</x:v>
      </x:c>
      <x:c r="S138" s="1" t="str">
        <x:v>Media</x:v>
      </x:c>
      <x:c r="T138" s="1" t="n">
        <x:v>2</x:v>
      </x:c>
      <x:c r="U138" s="1" t="n">
        <x:v>2</x:v>
      </x:c>
      <x:c r="V138" s="5" t="n">
        <x:v>2322.96</x:v>
      </x:c>
      <x:c r="W138" s="1" t="str">
        <x:v>08:50</x:v>
      </x:c>
      <x:c r="X138" s="1" t="n">
        <x:v>6.15</x:v>
      </x:c>
      <x:c r="Y138" s="1" t="n">
        <x:f>Parametros_Operacion!$B$2*1</x:f>
        <x:v>72.5</x:v>
      </x:c>
    </x:row>
    <x:row r="139">
      <x:c r="A139" s="1" t="str">
        <x:v>P0178</x:v>
      </x:c>
      <x:c r="B139" s="6" t="n">
        <x:v>46163.30625</x:v>
      </x:c>
      <x:c r="C139" s="1" t="str">
        <x:v>C051</x:v>
      </x:c>
      <x:c r="D139" s="1" t="str">
        <x:v>Pulpería La Esperanza</x:v>
      </x:c>
      <x:c r="E139" s="1" t="str">
        <x:v>Jutiapa</x:v>
      </x:c>
      <x:c r="F139" s="7" t="n">
        <x:v>15.64757132645944</x:v>
      </x:c>
      <x:c r="G139" s="7" t="n">
        <x:v>-86.23647664495304</x:v>
      </x:c>
      <x:c r="H139" s="1" t="str">
        <x:v>R003</x:v>
      </x:c>
      <x:c r="I139" s="1" t="str">
        <x:v>Luis Ramírez</x:v>
      </x:c>
      <x:c r="J139" s="1" t="str">
        <x:v>V003</x:v>
      </x:c>
      <x:c r="K139" s="1" t="str">
        <x:v>Pickup con carrocería</x:v>
      </x:c>
      <x:c r="L139" s="1" t="str">
        <x:v>RT-20260521-R003</x:v>
      </x:c>
      <x:c r="M139" s="1" t="str">
        <x:v>07:10</x:v>
      </x:c>
      <x:c r="N139" s="1" t="str">
        <x:v>07:21</x:v>
      </x:c>
      <x:c r="O139" s="1" t="n">
        <x:v>11</x:v>
      </x:c>
      <x:c r="P139" s="5" t="n">
        <x:f>ROUND(X139+Y139,2)</x:f>
        <x:v>68.04</x:v>
      </x:c>
      <x:c r="Q139" s="5" t="n">
        <x:f>ROUND(P139/Vehiculos!$E$4*Vehiculos!$F$4,2)</x:f>
        <x:v>259.4</x:v>
      </x:c>
      <x:c r="R139" s="1" t="str">
        <x:v>Entregado</x:v>
      </x:c>
      <x:c r="S139" s="1" t="str">
        <x:v>Media</x:v>
      </x:c>
      <x:c r="T139" s="1" t="n">
        <x:v>1</x:v>
      </x:c>
      <x:c r="U139" s="1" t="n">
        <x:v>1</x:v>
      </x:c>
      <x:c r="V139" s="5" t="n">
        <x:v>3735.95</x:v>
      </x:c>
      <x:c r="W139" s="1" t="str">
        <x:v>08:50</x:v>
      </x:c>
      <x:c r="X139" s="1" t="n">
        <x:v>5.24</x:v>
      </x:c>
      <x:c r="Y139" s="1" t="n">
        <x:f>Parametros_Operacion!$B$5*2</x:f>
        <x:v>62.8</x:v>
      </x:c>
    </x:row>
    <x:row r="140">
      <x:c r="A140" s="1" t="str">
        <x:v>P0177</x:v>
      </x:c>
      <x:c r="B140" s="6" t="n">
        <x:v>46163.31527777778</x:v>
      </x:c>
      <x:c r="C140" s="1" t="str">
        <x:v>C004</x:v>
      </x:c>
      <x:c r="D140" s="1" t="str">
        <x:v>Comercial Rivera</x:v>
      </x:c>
      <x:c r="E140" s="1" t="str">
        <x:v>La Masica</x:v>
      </x:c>
      <x:c r="F140" s="7" t="n">
        <x:v>15.60892338902915</x:v>
      </x:c>
      <x:c r="G140" s="7" t="n">
        <x:v>-86.73871508090915</x:v>
      </x:c>
      <x:c r="H140" s="1" t="str">
        <x:v>R004</x:v>
      </x:c>
      <x:c r="I140" s="1" t="str">
        <x:v>Daniela Cruz</x:v>
      </x:c>
      <x:c r="J140" s="1" t="str">
        <x:v>V004</x:v>
      </x:c>
      <x:c r="K140" s="1" t="str">
        <x:v>Pickup con carrocería</x:v>
      </x:c>
      <x:c r="L140" s="1" t="str">
        <x:v>RT-20260521-R004</x:v>
      </x:c>
      <x:c r="M140" s="1" t="str">
        <x:v>07:20</x:v>
      </x:c>
      <x:c r="N140" s="1" t="str">
        <x:v>07:34</x:v>
      </x:c>
      <x:c r="O140" s="1" t="n">
        <x:v>14</x:v>
      </x:c>
      <x:c r="P140" s="5" t="n">
        <x:f>ROUND(X140+Y140,2)</x:f>
        <x:v>45.78</x:v>
      </x:c>
      <x:c r="Q140" s="5" t="n">
        <x:f>ROUND(P140/Vehiculos!$E$5*Vehiculos!$F$5,2)</x:f>
        <x:v>166.23</x:v>
      </x:c>
      <x:c r="R140" s="1" t="str">
        <x:v>Entregado</x:v>
      </x:c>
      <x:c r="S140" s="1" t="str">
        <x:v>Media</x:v>
      </x:c>
      <x:c r="T140" s="1" t="n">
        <x:v>1</x:v>
      </x:c>
      <x:c r="U140" s="1" t="n">
        <x:v>1</x:v>
      </x:c>
      <x:c r="V140" s="5" t="n">
        <x:v>3223.71</x:v>
      </x:c>
      <x:c r="W140" s="1" t="str">
        <x:v>08:50</x:v>
      </x:c>
      <x:c r="X140" s="1" t="n">
        <x:v>4.58</x:v>
      </x:c>
      <x:c r="Y140" s="1" t="n">
        <x:f>Parametros_Operacion!$B$7*1</x:f>
        <x:v>41.2</x:v>
      </x:c>
    </x:row>
    <x:row r="141">
      <x:c r="A141" s="1" t="str">
        <x:v>P0040</x:v>
      </x:c>
      <x:c r="B141" s="6" t="n">
        <x:v>46163.32638888889</x:v>
      </x:c>
      <x:c r="C141" s="1" t="str">
        <x:v>C050</x:v>
      </x:c>
      <x:c r="D141" s="1" t="str">
        <x:v>Comercial La Costa</x:v>
      </x:c>
      <x:c r="E141" s="1" t="str">
        <x:v>La Masica</x:v>
      </x:c>
      <x:c r="F141" s="7" t="n">
        <x:v>15.64284820490915</x:v>
      </x:c>
      <x:c r="G141" s="7" t="n">
        <x:v>-86.70339478481962</x:v>
      </x:c>
      <x:c r="H141" s="1" t="str">
        <x:v>R004</x:v>
      </x:c>
      <x:c r="I141" s="1" t="str">
        <x:v>Daniela Cruz</x:v>
      </x:c>
      <x:c r="J141" s="1" t="str">
        <x:v>V004</x:v>
      </x:c>
      <x:c r="K141" s="1" t="str">
        <x:v>Pickup con carrocería</x:v>
      </x:c>
      <x:c r="L141" s="1" t="str">
        <x:v>RT-20260521-R004</x:v>
      </x:c>
      <x:c r="M141" s="1" t="str">
        <x:v>07:34</x:v>
      </x:c>
      <x:c r="N141" s="1" t="str">
        <x:v>07:50</x:v>
      </x:c>
      <x:c r="O141" s="1" t="n">
        <x:v>16</x:v>
      </x:c>
      <x:c r="P141" s="5" t="n">
        <x:f>ROUND(X141+Y141,2)</x:f>
        <x:v>6.68</x:v>
      </x:c>
      <x:c r="Q141" s="5" t="n">
        <x:f>ROUND(P141/Vehiculos!$E$5*Vehiculos!$F$5,2)</x:f>
        <x:v>24.25</x:v>
      </x:c>
      <x:c r="R141" s="1" t="str">
        <x:v>Entregado</x:v>
      </x:c>
      <x:c r="S141" s="1" t="str">
        <x:v>Media</x:v>
      </x:c>
      <x:c r="T141" s="1" t="n">
        <x:v>2</x:v>
      </x:c>
      <x:c r="U141" s="1" t="n">
        <x:v>3</x:v>
      </x:c>
      <x:c r="V141" s="5" t="n">
        <x:v>2514.74</x:v>
      </x:c>
      <x:c r="W141" s="1" t="str">
        <x:v>08:50</x:v>
      </x:c>
      <x:c r="X141" s="1" t="n">
        <x:v>6.68</x:v>
      </x:c>
      <x:c r="Y141" s="1" t="n">
        <x:f>Parametros_Operacion!$B$7*0</x:f>
        <x:v>0</x:v>
      </x:c>
    </x:row>
    <x:row r="142">
      <x:c r="A142" s="1" t="str">
        <x:v>P0021</x:v>
      </x:c>
      <x:c r="B142" s="6" t="n">
        <x:v>46163.33472222222</x:v>
      </x:c>
      <x:c r="C142" s="1" t="str">
        <x:v>C047</x:v>
      </x:c>
      <x:c r="D142" s="1" t="str">
        <x:v>Distribuidora El Faro</x:v>
      </x:c>
      <x:c r="E142" s="1" t="str">
        <x:v>La Masica</x:v>
      </x:c>
      <x:c r="F142" s="7" t="n">
        <x:v>15.62139902522154</x:v>
      </x:c>
      <x:c r="G142" s="7" t="n">
        <x:v>-86.69038794424819</x:v>
      </x:c>
      <x:c r="H142" s="1" t="str">
        <x:v>R004</x:v>
      </x:c>
      <x:c r="I142" s="1" t="str">
        <x:v>Daniela Cruz</x:v>
      </x:c>
      <x:c r="J142" s="1" t="str">
        <x:v>V004</x:v>
      </x:c>
      <x:c r="K142" s="1" t="str">
        <x:v>Pickup con carrocería</x:v>
      </x:c>
      <x:c r="L142" s="1" t="str">
        <x:v>RT-20260521-R004</x:v>
      </x:c>
      <x:c r="M142" s="1" t="str">
        <x:v>07:50</x:v>
      </x:c>
      <x:c r="N142" s="1" t="str">
        <x:v>08:02</x:v>
      </x:c>
      <x:c r="O142" s="1" t="n">
        <x:v>12</x:v>
      </x:c>
      <x:c r="P142" s="5" t="n">
        <x:f>ROUND(X142+Y142,2)</x:f>
        <x:v>47.26</x:v>
      </x:c>
      <x:c r="Q142" s="5" t="n">
        <x:f>ROUND(P142/Vehiculos!$E$5*Vehiculos!$F$5,2)</x:f>
        <x:v>171.6</x:v>
      </x:c>
      <x:c r="R142" s="1" t="str">
        <x:v>Entregado</x:v>
      </x:c>
      <x:c r="S142" s="1" t="str">
        <x:v>Media</x:v>
      </x:c>
      <x:c r="T142" s="1" t="n">
        <x:v>3</x:v>
      </x:c>
      <x:c r="U142" s="1" t="n">
        <x:v>2</x:v>
      </x:c>
      <x:c r="V142" s="5" t="n">
        <x:v>3983.3</x:v>
      </x:c>
      <x:c r="W142" s="1" t="str">
        <x:v>08:50</x:v>
      </x:c>
      <x:c r="X142" s="1" t="n">
        <x:v>6.06</x:v>
      </x:c>
      <x:c r="Y142" s="1" t="n">
        <x:f>Parametros_Operacion!$B$7*1</x:f>
        <x:v>41.2</x:v>
      </x:c>
    </x:row>
    <x:row r="143">
      <x:c r="A143" s="1" t="str">
        <x:v>P0179</x:v>
      </x:c>
      <x:c r="B143" s="6" t="n">
        <x:v>46163.345138888886</x:v>
      </x:c>
      <x:c r="C143" s="1" t="str">
        <x:v>C056</x:v>
      </x:c>
      <x:c r="D143" s="1" t="str">
        <x:v>Pulpería Los Amigos</x:v>
      </x:c>
      <x:c r="E143" s="1" t="str">
        <x:v>Arizona</x:v>
      </x:c>
      <x:c r="F143" s="7" t="n">
        <x:v>15.60141629778186</x:v>
      </x:c>
      <x:c r="G143" s="7" t="n">
        <x:v>-87.32913205719288</x:v>
      </x:c>
      <x:c r="H143" s="1" t="str">
        <x:v>R006</x:v>
      </x:c>
      <x:c r="I143" s="1" t="str">
        <x:v>Kevin Flores</x:v>
      </x:c>
      <x:c r="J143" s="1" t="str">
        <x:v>V006</x:v>
      </x:c>
      <x:c r="K143" s="1" t="str">
        <x:v>Pickup con carrocería</x:v>
      </x:c>
      <x:c r="L143" s="1" t="str">
        <x:v>RT-20260521-R006</x:v>
      </x:c>
      <x:c r="M143" s="1" t="str">
        <x:v>08:03</x:v>
      </x:c>
      <x:c r="N143" s="1" t="str">
        <x:v>08:17</x:v>
      </x:c>
      <x:c r="O143" s="1" t="n">
        <x:v>14</x:v>
      </x:c>
      <x:c r="P143" s="5" t="n">
        <x:f>ROUND(X143+Y143,2)</x:f>
        <x:v>154.12</x:v>
      </x:c>
      <x:c r="Q143" s="5" t="n">
        <x:f>ROUND(P143/Vehiculos!$E$7*Vehiculos!$F$7,2)</x:f>
        <x:v>587.59</x:v>
      </x:c>
      <x:c r="R143" s="1" t="str">
        <x:v>Entregado</x:v>
      </x:c>
      <x:c r="S143" s="1" t="str">
        <x:v>Media</x:v>
      </x:c>
      <x:c r="T143" s="1" t="n">
        <x:v>1</x:v>
      </x:c>
      <x:c r="U143" s="1" t="n">
        <x:v>1</x:v>
      </x:c>
      <x:c r="V143" s="5" t="n">
        <x:v>4963.84</x:v>
      </x:c>
      <x:c r="W143" s="1" t="str">
        <x:v>08:50</x:v>
      </x:c>
      <x:c r="X143" s="1" t="n">
        <x:v>9.12</x:v>
      </x:c>
      <x:c r="Y143" s="1" t="n">
        <x:f>Parametros_Operacion!$B$2*2</x:f>
        <x:v>145</x:v>
      </x:c>
    </x:row>
    <x:row r="144">
      <x:c r="A144" s="1" t="str">
        <x:v>P0158</x:v>
      </x:c>
      <x:c r="B144" s="6" t="n">
        <x:v>46163.34583333333</x:v>
      </x:c>
      <x:c r="C144" s="1" t="str">
        <x:v>C037</x:v>
      </x:c>
      <x:c r="D144" s="1" t="str">
        <x:v>Mini Súper El Parque</x:v>
      </x:c>
      <x:c r="E144" s="1" t="str">
        <x:v>Esparta</x:v>
      </x:c>
      <x:c r="F144" s="7" t="n">
        <x:v>15.66792586172747</x:v>
      </x:c>
      <x:c r="G144" s="7" t="n">
        <x:v>-87.2688142905545</x:v>
      </x:c>
      <x:c r="H144" s="1" t="str">
        <x:v>R007</x:v>
      </x:c>
      <x:c r="I144" s="1" t="str">
        <x:v>María Hernández</x:v>
      </x:c>
      <x:c r="J144" s="1" t="str">
        <x:v>V007</x:v>
      </x:c>
      <x:c r="K144" s="1" t="str">
        <x:v>Pickup con carrocería</x:v>
      </x:c>
      <x:c r="L144" s="1" t="str">
        <x:v>RT-20260521-R007</x:v>
      </x:c>
      <x:c r="M144" s="1" t="str">
        <x:v>08:08</x:v>
      </x:c>
      <x:c r="N144" s="1" t="str">
        <x:v>08:18</x:v>
      </x:c>
      <x:c r="O144" s="1" t="n">
        <x:v>10</x:v>
      </x:c>
      <x:c r="P144" s="5" t="n">
        <x:f>ROUND(X144+Y144,2)</x:f>
        <x:v>77.35</x:v>
      </x:c>
      <x:c r="Q144" s="5" t="n">
        <x:f>ROUND(P144/Vehiculos!$E$8*Vehiculos!$F$8,2)</x:f>
        <x:v>294.9</x:v>
      </x:c>
      <x:c r="R144" s="1" t="str">
        <x:v>Entregado</x:v>
      </x:c>
      <x:c r="S144" s="1" t="str">
        <x:v>Media</x:v>
      </x:c>
      <x:c r="T144" s="1" t="n">
        <x:v>1</x:v>
      </x:c>
      <x:c r="U144" s="1" t="n">
        <x:v>1</x:v>
      </x:c>
      <x:c r="V144" s="5" t="n">
        <x:v>2468.98</x:v>
      </x:c>
      <x:c r="W144" s="1" t="str">
        <x:v>08:50</x:v>
      </x:c>
      <x:c r="X144" s="1" t="n">
        <x:v>1.85</x:v>
      </x:c>
      <x:c r="Y144" s="1" t="n">
        <x:f>Parametros_Operacion!$B$4*1</x:f>
        <x:v>75.5</x:v>
      </x:c>
    </x:row>
    <x:row r="145">
      <x:c r="A145" s="1" t="str">
        <x:v>P0138</x:v>
      </x:c>
      <x:c r="B145" s="6" t="n">
        <x:v>46163.35555555556</x:v>
      </x:c>
      <x:c r="C145" s="1" t="str">
        <x:v>C045</x:v>
      </x:c>
      <x:c r="D145" s="1" t="str">
        <x:v>Mini Market San José</x:v>
      </x:c>
      <x:c r="E145" s="1" t="str">
        <x:v>Esparta</x:v>
      </x:c>
      <x:c r="F145" s="7" t="n">
        <x:v>15.63866963202749</x:v>
      </x:c>
      <x:c r="G145" s="7" t="n">
        <x:v>-87.28674513285189</x:v>
      </x:c>
      <x:c r="H145" s="1" t="str">
        <x:v>R007</x:v>
      </x:c>
      <x:c r="I145" s="1" t="str">
        <x:v>María Hernández</x:v>
      </x:c>
      <x:c r="J145" s="1" t="str">
        <x:v>V007</x:v>
      </x:c>
      <x:c r="K145" s="1" t="str">
        <x:v>Pickup con carrocería</x:v>
      </x:c>
      <x:c r="L145" s="1" t="str">
        <x:v>RT-20260521-R007</x:v>
      </x:c>
      <x:c r="M145" s="1" t="str">
        <x:v>08:18</x:v>
      </x:c>
      <x:c r="N145" s="1" t="str">
        <x:v>08:32</x:v>
      </x:c>
      <x:c r="O145" s="1" t="n">
        <x:v>14</x:v>
      </x:c>
      <x:c r="P145" s="5" t="n">
        <x:f>ROUND(X145+Y145,2)</x:f>
        <x:v>83.51</x:v>
      </x:c>
      <x:c r="Q145" s="5" t="n">
        <x:f>ROUND(P145/Vehiculos!$E$8*Vehiculos!$F$8,2)</x:f>
        <x:v>318.38</x:v>
      </x:c>
      <x:c r="R145" s="1" t="str">
        <x:v>Entregado</x:v>
      </x:c>
      <x:c r="S145" s="1" t="str">
        <x:v>Media</x:v>
      </x:c>
      <x:c r="T145" s="1" t="n">
        <x:v>2</x:v>
      </x:c>
      <x:c r="U145" s="1" t="n">
        <x:v>2</x:v>
      </x:c>
      <x:c r="V145" s="5" t="n">
        <x:v>7134.18</x:v>
      </x:c>
      <x:c r="W145" s="1" t="str">
        <x:v>08:50</x:v>
      </x:c>
      <x:c r="X145" s="1" t="n">
        <x:v>8.01</x:v>
      </x:c>
      <x:c r="Y145" s="1" t="n">
        <x:f>Parametros_Operacion!$B$4*1</x:f>
        <x:v>75.5</x:v>
      </x:c>
    </x:row>
    <x:row r="146">
      <x:c r="A146" s="1" t="str">
        <x:v>P0093</x:v>
      </x:c>
      <x:c r="B146" s="6" t="n">
        <x:v>46163.36736111111</x:v>
      </x:c>
      <x:c r="C146" s="1" t="str">
        <x:v>C059</x:v>
      </x:c>
      <x:c r="D146" s="1" t="str">
        <x:v>Pulpería El Centroamericano</x:v>
      </x:c>
      <x:c r="E146" s="1" t="str">
        <x:v>Tela</x:v>
      </x:c>
      <x:c r="F146" s="7" t="n">
        <x:v>15.78985251396864</x:v>
      </x:c>
      <x:c r="G146" s="7" t="n">
        <x:v>-87.46255549737951</x:v>
      </x:c>
      <x:c r="H146" s="1" t="str">
        <x:v>R002</x:v>
      </x:c>
      <x:c r="I146" s="1" t="str">
        <x:v>Ana López</x:v>
      </x:c>
      <x:c r="J146" s="1" t="str">
        <x:v>V002</x:v>
      </x:c>
      <x:c r="K146" s="1" t="str">
        <x:v>Pickup con carrocería</x:v>
      </x:c>
      <x:c r="L146" s="1" t="str">
        <x:v>RT-20260521-R002</x:v>
      </x:c>
      <x:c r="M146" s="1" t="str">
        <x:v>08:38</x:v>
      </x:c>
      <x:c r="N146" s="1" t="str">
        <x:v>08:49</x:v>
      </x:c>
      <x:c r="O146" s="1" t="n">
        <x:v>11</x:v>
      </x:c>
      <x:c r="P146" s="5" t="n">
        <x:f>ROUND(X146+Y146,2)</x:f>
        <x:v>104.31</x:v>
      </x:c>
      <x:c r="Q146" s="5" t="n">
        <x:f>ROUND(P146/Vehiculos!$E$3*Vehiculos!$F$3,2)</x:f>
        <x:v>378.75</x:v>
      </x:c>
      <x:c r="R146" s="1" t="str">
        <x:v>Entregado</x:v>
      </x:c>
      <x:c r="S146" s="1" t="str">
        <x:v>Media</x:v>
      </x:c>
      <x:c r="T146" s="1" t="n">
        <x:v>1</x:v>
      </x:c>
      <x:c r="U146" s="1" t="n">
        <x:v>1</x:v>
      </x:c>
      <x:c r="V146" s="5" t="n">
        <x:v>1981.42</x:v>
      </x:c>
      <x:c r="W146" s="1" t="str">
        <x:v>08:50</x:v>
      </x:c>
      <x:c r="X146" s="1" t="n">
        <x:v>2.01</x:v>
      </x:c>
      <x:c r="Y146" s="1" t="n">
        <x:f>Parametros_Operacion!$B$9*1</x:f>
        <x:v>102.3</x:v>
      </x:c>
    </x:row>
    <x:row r="147">
      <x:c r="A147" s="1" t="str">
        <x:v>P0175</x:v>
      </x:c>
      <x:c r="B147" s="6" t="n">
        <x:v>46163.37708333333</x:v>
      </x:c>
      <x:c r="C147" s="1" t="str">
        <x:v>C013</x:v>
      </x:c>
      <x:c r="D147" s="1" t="str">
        <x:v>Mercadito Doña Marta</x:v>
      </x:c>
      <x:c r="E147" s="1" t="str">
        <x:v>Tela</x:v>
      </x:c>
      <x:c r="F147" s="7" t="n">
        <x:v>15.75505922402737</x:v>
      </x:c>
      <x:c r="G147" s="7" t="n">
        <x:v>-87.47373987089004</x:v>
      </x:c>
      <x:c r="H147" s="1" t="str">
        <x:v>R002</x:v>
      </x:c>
      <x:c r="I147" s="1" t="str">
        <x:v>Ana López</x:v>
      </x:c>
      <x:c r="J147" s="1" t="str">
        <x:v>V002</x:v>
      </x:c>
      <x:c r="K147" s="1" t="str">
        <x:v>Pickup con carrocería</x:v>
      </x:c>
      <x:c r="L147" s="1" t="str">
        <x:v>RT-20260521-R002</x:v>
      </x:c>
      <x:c r="M147" s="1" t="str">
        <x:v>08:49</x:v>
      </x:c>
      <x:c r="N147" s="1" t="str">
        <x:v>09:03</x:v>
      </x:c>
      <x:c r="O147" s="1" t="n">
        <x:v>14</x:v>
      </x:c>
      <x:c r="P147" s="5" t="n">
        <x:f>ROUND(X147+Y147,2)</x:f>
        <x:v>111.53</x:v>
      </x:c>
      <x:c r="Q147" s="5" t="n">
        <x:f>ROUND(P147/Vehiculos!$E$3*Vehiculos!$F$3,2)</x:f>
        <x:v>404.96</x:v>
      </x:c>
      <x:c r="R147" s="1" t="str">
        <x:v>Retrasado</x:v>
      </x:c>
      <x:c r="S147" s="1" t="str">
        <x:v>Media</x:v>
      </x:c>
      <x:c r="T147" s="1" t="n">
        <x:v>2</x:v>
      </x:c>
      <x:c r="U147" s="1" t="n">
        <x:v>2</x:v>
      </x:c>
      <x:c r="V147" s="5" t="n">
        <x:v>1019.09</x:v>
      </x:c>
      <x:c r="W147" s="1" t="str">
        <x:v>08:50</x:v>
      </x:c>
      <x:c r="X147" s="1" t="n">
        <x:v>9.23</x:v>
      </x:c>
      <x:c r="Y147" s="1" t="n">
        <x:f>Parametros_Operacion!$B$9*1</x:f>
        <x:v>102.3</x:v>
      </x:c>
    </x:row>
    <x:row r="148">
      <x:c r="A148" s="1" t="str">
        <x:v>P0185</x:v>
      </x:c>
      <x:c r="B148" s="6" t="n">
        <x:v>46164.31527777778</x:v>
      </x:c>
      <x:c r="C148" s="1" t="str">
        <x:v>C004</x:v>
      </x:c>
      <x:c r="D148" s="1" t="str">
        <x:v>Comercial Rivera</x:v>
      </x:c>
      <x:c r="E148" s="1" t="str">
        <x:v>La Masica</x:v>
      </x:c>
      <x:c r="F148" s="7" t="n">
        <x:v>15.60892338902915</x:v>
      </x:c>
      <x:c r="G148" s="7" t="n">
        <x:v>-86.73871508090915</x:v>
      </x:c>
      <x:c r="H148" s="1" t="str">
        <x:v>R004</x:v>
      </x:c>
      <x:c r="I148" s="1" t="str">
        <x:v>Daniela Cruz</x:v>
      </x:c>
      <x:c r="J148" s="1" t="str">
        <x:v>V004</x:v>
      </x:c>
      <x:c r="K148" s="1" t="str">
        <x:v>Pickup con carrocería</x:v>
      </x:c>
      <x:c r="L148" s="1" t="str">
        <x:v>RT-20260522-R004</x:v>
      </x:c>
      <x:c r="M148" s="1" t="str">
        <x:v>07:20</x:v>
      </x:c>
      <x:c r="N148" s="1" t="str">
        <x:v>07:34</x:v>
      </x:c>
      <x:c r="O148" s="1" t="n">
        <x:v>14</x:v>
      </x:c>
      <x:c r="P148" s="5" t="n">
        <x:f>ROUND(X148+Y148,2)</x:f>
        <x:v>91.56</x:v>
      </x:c>
      <x:c r="Q148" s="5" t="n">
        <x:f>ROUND(P148/Vehiculos!$E$5*Vehiculos!$F$5,2)</x:f>
        <x:v>332.45</x:v>
      </x:c>
      <x:c r="R148" s="1" t="str">
        <x:v>Entregado</x:v>
      </x:c>
      <x:c r="S148" s="1" t="str">
        <x:v>Media</x:v>
      </x:c>
      <x:c r="T148" s="1" t="n">
        <x:v>1</x:v>
      </x:c>
      <x:c r="U148" s="1" t="n">
        <x:v>1</x:v>
      </x:c>
      <x:c r="V148" s="5" t="n">
        <x:v>1211.32</x:v>
      </x:c>
      <x:c r="W148" s="1" t="str">
        <x:v>08:50</x:v>
      </x:c>
      <x:c r="X148" s="1" t="n">
        <x:v>9.16</x:v>
      </x:c>
      <x:c r="Y148" s="1" t="n">
        <x:f>Parametros_Operacion!$B$7*2</x:f>
        <x:v>82.4</x:v>
      </x:c>
    </x:row>
    <x:row r="149">
      <x:c r="A149" s="1" t="str">
        <x:v>P0130</x:v>
      </x:c>
      <x:c r="B149" s="6" t="n">
        <x:v>46164.34166666667</x:v>
      </x:c>
      <x:c r="C149" s="1" t="str">
        <x:v>C060</x:v>
      </x:c>
      <x:c r="D149" s="1" t="str">
        <x:v>Mercadito La Familia</x:v>
      </x:c>
      <x:c r="E149" s="1" t="str">
        <x:v>Arizona</x:v>
      </x:c>
      <x:c r="F149" s="7" t="n">
        <x:v>15.61974440819844</x:v>
      </x:c>
      <x:c r="G149" s="7" t="n">
        <x:v>-87.36335246769889</x:v>
      </x:c>
      <x:c r="H149" s="1" t="str">
        <x:v>R006</x:v>
      </x:c>
      <x:c r="I149" s="1" t="str">
        <x:v>Kevin Flores</x:v>
      </x:c>
      <x:c r="J149" s="1" t="str">
        <x:v>V006</x:v>
      </x:c>
      <x:c r="K149" s="1" t="str">
        <x:v>Pickup con carrocería</x:v>
      </x:c>
      <x:c r="L149" s="1" t="str">
        <x:v>RT-20260522-R006</x:v>
      </x:c>
      <x:c r="M149" s="1" t="str">
        <x:v>08:03</x:v>
      </x:c>
      <x:c r="N149" s="1" t="str">
        <x:v>08:12</x:v>
      </x:c>
      <x:c r="O149" s="1" t="n">
        <x:v>9</x:v>
      </x:c>
      <x:c r="P149" s="5" t="n">
        <x:f>ROUND(X149+Y149,2)</x:f>
        <x:v>73.19</x:v>
      </x:c>
      <x:c r="Q149" s="5" t="n">
        <x:f>ROUND(P149/Vehiculos!$E$7*Vehiculos!$F$7,2)</x:f>
        <x:v>279.04</x:v>
      </x:c>
      <x:c r="R149" s="1" t="str">
        <x:v>Entregado</x:v>
      </x:c>
      <x:c r="S149" s="1" t="str">
        <x:v>Media</x:v>
      </x:c>
      <x:c r="T149" s="1" t="n">
        <x:v>1</x:v>
      </x:c>
      <x:c r="U149" s="1" t="n">
        <x:v>1</x:v>
      </x:c>
      <x:c r="V149" s="5" t="n">
        <x:v>3374.75</x:v>
      </x:c>
      <x:c r="W149" s="1" t="str">
        <x:v>08:50</x:v>
      </x:c>
      <x:c r="X149" s="1" t="n">
        <x:v>0.69</x:v>
      </x:c>
      <x:c r="Y149" s="1" t="n">
        <x:f>Parametros_Operacion!$B$2*1</x:f>
        <x:v>72.5</x:v>
      </x:c>
    </x:row>
    <x:row r="150">
      <x:c r="A150" s="1" t="str">
        <x:v>P0183</x:v>
      </x:c>
      <x:c r="B150" s="6" t="n">
        <x:v>46164.34861111111</x:v>
      </x:c>
      <x:c r="C150" s="1" t="str">
        <x:v>C010</x:v>
      </x:c>
      <x:c r="D150" s="1" t="str">
        <x:v>Comercial La Costa</x:v>
      </x:c>
      <x:c r="E150" s="1" t="str">
        <x:v>Arizona</x:v>
      </x:c>
      <x:c r="F150" s="7" t="n">
        <x:v>15.61871939198217</x:v>
      </x:c>
      <x:c r="G150" s="7" t="n">
        <x:v>-87.37634942061808</x:v>
      </x:c>
      <x:c r="H150" s="1" t="str">
        <x:v>R006</x:v>
      </x:c>
      <x:c r="I150" s="1" t="str">
        <x:v>Kevin Flores</x:v>
      </x:c>
      <x:c r="J150" s="1" t="str">
        <x:v>V006</x:v>
      </x:c>
      <x:c r="K150" s="1" t="str">
        <x:v>Pickup con carrocería</x:v>
      </x:c>
      <x:c r="L150" s="1" t="str">
        <x:v>RT-20260522-R006</x:v>
      </x:c>
      <x:c r="M150" s="1" t="str">
        <x:v>08:12</x:v>
      </x:c>
      <x:c r="N150" s="1" t="str">
        <x:v>08:22</x:v>
      </x:c>
      <x:c r="O150" s="1" t="n">
        <x:v>10</x:v>
      </x:c>
      <x:c r="P150" s="5" t="n">
        <x:f>ROUND(X150+Y150,2)</x:f>
        <x:v>76.56</x:v>
      </x:c>
      <x:c r="Q150" s="5" t="n">
        <x:f>ROUND(P150/Vehiculos!$E$7*Vehiculos!$F$7,2)</x:f>
        <x:v>291.89</x:v>
      </x:c>
      <x:c r="R150" s="1" t="str">
        <x:v>Entregado</x:v>
      </x:c>
      <x:c r="S150" s="1" t="str">
        <x:v>Media</x:v>
      </x:c>
      <x:c r="T150" s="1" t="n">
        <x:v>2</x:v>
      </x:c>
      <x:c r="U150" s="1" t="n">
        <x:v>2</x:v>
      </x:c>
      <x:c r="V150" s="5" t="n">
        <x:v>4197.59</x:v>
      </x:c>
      <x:c r="W150" s="1" t="str">
        <x:v>08:50</x:v>
      </x:c>
      <x:c r="X150" s="1" t="n">
        <x:v>4.06</x:v>
      </x:c>
      <x:c r="Y150" s="1" t="n">
        <x:f>Parametros_Operacion!$B$2*1</x:f>
        <x:v>72.5</x:v>
      </x:c>
    </x:row>
    <x:row r="151">
      <x:c r="A151" s="1" t="str">
        <x:v>P0149</x:v>
      </x:c>
      <x:c r="B151" s="6" t="n">
        <x:v>46164.36944444444</x:v>
      </x:c>
      <x:c r="C151" s="1" t="str">
        <x:v>C046</x:v>
      </x:c>
      <x:c r="D151" s="1" t="str">
        <x:v>Abarrotería El Centro</x:v>
      </x:c>
      <x:c r="E151" s="1" t="str">
        <x:v>Tela</x:v>
      </x:c>
      <x:c r="F151" s="7" t="n">
        <x:v>15.75345936034755</x:v>
      </x:c>
      <x:c r="G151" s="7" t="n">
        <x:v>-87.43026035645514</x:v>
      </x:c>
      <x:c r="H151" s="1" t="str">
        <x:v>R002</x:v>
      </x:c>
      <x:c r="I151" s="1" t="str">
        <x:v>Ana López</x:v>
      </x:c>
      <x:c r="J151" s="1" t="str">
        <x:v>V002</x:v>
      </x:c>
      <x:c r="K151" s="1" t="str">
        <x:v>Pickup con carrocería</x:v>
      </x:c>
      <x:c r="L151" s="1" t="str">
        <x:v>RT-20260522-R002</x:v>
      </x:c>
      <x:c r="M151" s="1" t="str">
        <x:v>08:38</x:v>
      </x:c>
      <x:c r="N151" s="1" t="str">
        <x:v>08:52</x:v>
      </x:c>
      <x:c r="O151" s="1" t="n">
        <x:v>14</x:v>
      </x:c>
      <x:c r="P151" s="5" t="n">
        <x:f>ROUND(X151+Y151,2)</x:f>
        <x:v>106.95</x:v>
      </x:c>
      <x:c r="Q151" s="5" t="n">
        <x:f>ROUND(P151/Vehiculos!$E$3*Vehiculos!$F$3,2)</x:f>
        <x:v>388.33</x:v>
      </x:c>
      <x:c r="R151" s="1" t="str">
        <x:v>Retrasado</x:v>
      </x:c>
      <x:c r="S151" s="1" t="str">
        <x:v>Media</x:v>
      </x:c>
      <x:c r="T151" s="1" t="n">
        <x:v>1</x:v>
      </x:c>
      <x:c r="U151" s="1" t="n">
        <x:v>1</x:v>
      </x:c>
      <x:c r="V151" s="5" t="n">
        <x:v>4489</x:v>
      </x:c>
      <x:c r="W151" s="1" t="str">
        <x:v>08:50</x:v>
      </x:c>
      <x:c r="X151" s="1" t="n">
        <x:v>4.65</x:v>
      </x:c>
      <x:c r="Y151" s="1" t="n">
        <x:f>Parametros_Operacion!$B$9*1</x:f>
        <x:v>102.3</x:v>
      </x:c>
    </x:row>
    <x:row r="152">
      <x:c r="A152" s="1" t="str">
        <x:v>P0182</x:v>
      </x:c>
      <x:c r="B152" s="6" t="n">
        <x:v>46164.38055555556</x:v>
      </x:c>
      <x:c r="C152" s="1" t="str">
        <x:v>C024</x:v>
      </x:c>
      <x:c r="D152" s="1" t="str">
        <x:v>Comercial Rivera</x:v>
      </x:c>
      <x:c r="E152" s="1" t="str">
        <x:v>Tela</x:v>
      </x:c>
      <x:c r="F152" s="7" t="n">
        <x:v>15.774439556803</x:v>
      </x:c>
      <x:c r="G152" s="7" t="n">
        <x:v>-87.47534140483269</x:v>
      </x:c>
      <x:c r="H152" s="1" t="str">
        <x:v>R002</x:v>
      </x:c>
      <x:c r="I152" s="1" t="str">
        <x:v>Ana López</x:v>
      </x:c>
      <x:c r="J152" s="1" t="str">
        <x:v>V002</x:v>
      </x:c>
      <x:c r="K152" s="1" t="str">
        <x:v>Pickup con carrocería</x:v>
      </x:c>
      <x:c r="L152" s="1" t="str">
        <x:v>RT-20260522-R002</x:v>
      </x:c>
      <x:c r="M152" s="1" t="str">
        <x:v>08:52</x:v>
      </x:c>
      <x:c r="N152" s="1" t="str">
        <x:v>09:08</x:v>
      </x:c>
      <x:c r="O152" s="1" t="n">
        <x:v>16</x:v>
      </x:c>
      <x:c r="P152" s="5" t="n">
        <x:f>ROUND(X152+Y152,2)</x:f>
        <x:v>111.93</x:v>
      </x:c>
      <x:c r="Q152" s="5" t="n">
        <x:f>ROUND(P152/Vehiculos!$E$3*Vehiculos!$F$3,2)</x:f>
        <x:v>406.42</x:v>
      </x:c>
      <x:c r="R152" s="1" t="str">
        <x:v>Retrasado</x:v>
      </x:c>
      <x:c r="S152" s="1" t="str">
        <x:v>Media</x:v>
      </x:c>
      <x:c r="T152" s="1" t="n">
        <x:v>2</x:v>
      </x:c>
      <x:c r="U152" s="1" t="n">
        <x:v>2</x:v>
      </x:c>
      <x:c r="V152" s="5" t="n">
        <x:v>898.91</x:v>
      </x:c>
      <x:c r="W152" s="1" t="str">
        <x:v>08:50</x:v>
      </x:c>
      <x:c r="X152" s="1" t="n">
        <x:v>9.63</x:v>
      </x:c>
      <x:c r="Y152" s="1" t="n">
        <x:f>Parametros_Operacion!$B$9*1</x:f>
        <x:v>102.3</x:v>
      </x:c>
    </x:row>
    <x:row r="153">
      <x:c r="A153" s="1" t="str">
        <x:v>P0162</x:v>
      </x:c>
      <x:c r="B153" s="6" t="n">
        <x:v>46165.28055555555</x:v>
      </x:c>
      <x:c r="C153" s="1" t="str">
        <x:v>C043</x:v>
      </x:c>
      <x:c r="D153" s="1" t="str">
        <x:v>Supermercado Rafael</x:v>
      </x:c>
      <x:c r="E153" s="1" t="str">
        <x:v>La Ceiba</x:v>
      </x:c>
      <x:c r="F153" s="7" t="n">
        <x:v>15.74117500406553</x:v>
      </x:c>
      <x:c r="G153" s="7" t="n">
        <x:v>-86.76923431354687</x:v>
      </x:c>
      <x:c r="H153" s="1" t="str">
        <x:v>R001</x:v>
      </x:c>
      <x:c r="I153" s="1" t="str">
        <x:v>Carlos Mejía</x:v>
      </x:c>
      <x:c r="J153" s="1" t="str">
        <x:v>V001</x:v>
      </x:c>
      <x:c r="K153" s="1" t="str">
        <x:v>Pickup con carrocería</x:v>
      </x:c>
      <x:c r="L153" s="1" t="str">
        <x:v>RT-20260523-R001</x:v>
      </x:c>
      <x:c r="M153" s="1" t="str">
        <x:v>06:30</x:v>
      </x:c>
      <x:c r="N153" s="1" t="str">
        <x:v>06:44</x:v>
      </x:c>
      <x:c r="O153" s="1" t="n">
        <x:v>14</x:v>
      </x:c>
      <x:c r="P153" s="5" t="n">
        <x:f>ROUND(X153+Y153,2)</x:f>
        <x:v>5.17</x:v>
      </x:c>
      <x:c r="Q153" s="5" t="n">
        <x:f>ROUND(P153/Vehiculos!$E$2*Vehiculos!$F$2,2)</x:f>
        <x:v>17.92</x:v>
      </x:c>
      <x:c r="R153" s="1" t="str">
        <x:v>Entregado</x:v>
      </x:c>
      <x:c r="S153" s="1" t="str">
        <x:v>Media</x:v>
      </x:c>
      <x:c r="T153" s="1" t="n">
        <x:v>1</x:v>
      </x:c>
      <x:c r="U153" s="1" t="n">
        <x:v>1</x:v>
      </x:c>
      <x:c r="V153" s="5" t="n">
        <x:v>2456.4</x:v>
      </x:c>
      <x:c r="W153" s="1" t="str">
        <x:v>08:50</x:v>
      </x:c>
      <x:c r="X153" s="1" t="n">
        <x:v>5.17</x:v>
      </x:c>
      <x:c r="Y153" s="1" t="n">
        <x:f>Parametros_Operacion!$B$6*0</x:f>
        <x:v>0</x:v>
      </x:c>
    </x:row>
    <x:row r="154">
      <x:c r="A154" s="1" t="str">
        <x:v>P0190</x:v>
      </x:c>
      <x:c r="B154" s="6" t="n">
        <x:v>46165.29305555556</x:v>
      </x:c>
      <x:c r="C154" s="1" t="str">
        <x:v>C019</x:v>
      </x:c>
      <x:c r="D154" s="1" t="str">
        <x:v>Pulpería El Centroamericano</x:v>
      </x:c>
      <x:c r="E154" s="1" t="str">
        <x:v>La Ceiba</x:v>
      </x:c>
      <x:c r="F154" s="7" t="n">
        <x:v>15.7980269607938</x:v>
      </x:c>
      <x:c r="G154" s="7" t="n">
        <x:v>-86.77402528336896</x:v>
      </x:c>
      <x:c r="H154" s="1" t="str">
        <x:v>R001</x:v>
      </x:c>
      <x:c r="I154" s="1" t="str">
        <x:v>Carlos Mejía</x:v>
      </x:c>
      <x:c r="J154" s="1" t="str">
        <x:v>V001</x:v>
      </x:c>
      <x:c r="K154" s="1" t="str">
        <x:v>Pickup con carrocería</x:v>
      </x:c>
      <x:c r="L154" s="1" t="str">
        <x:v>RT-20260523-R001</x:v>
      </x:c>
      <x:c r="M154" s="1" t="str">
        <x:v>06:44</x:v>
      </x:c>
      <x:c r="N154" s="1" t="str">
        <x:v>07:02</x:v>
      </x:c>
      <x:c r="O154" s="1" t="n">
        <x:v>18</x:v>
      </x:c>
      <x:c r="P154" s="5" t="n">
        <x:f>ROUND(X154+Y154,2)</x:f>
        <x:v>13.24</x:v>
      </x:c>
      <x:c r="Q154" s="5" t="n">
        <x:f>ROUND(P154/Vehiculos!$E$2*Vehiculos!$F$2,2)</x:f>
        <x:v>45.89</x:v>
      </x:c>
      <x:c r="R154" s="1" t="str">
        <x:v>Entregado</x:v>
      </x:c>
      <x:c r="S154" s="1" t="str">
        <x:v>Media</x:v>
      </x:c>
      <x:c r="T154" s="1" t="n">
        <x:v>2</x:v>
      </x:c>
      <x:c r="U154" s="1" t="n">
        <x:v>2</x:v>
      </x:c>
      <x:c r="V154" s="5" t="n">
        <x:v>6186.14</x:v>
      </x:c>
      <x:c r="W154" s="1" t="str">
        <x:v>08:50</x:v>
      </x:c>
      <x:c r="X154" s="1" t="n">
        <x:v>13.24</x:v>
      </x:c>
      <x:c r="Y154" s="1" t="n">
        <x:f>Parametros_Operacion!$B$6*0</x:f>
        <x:v>0</x:v>
      </x:c>
    </x:row>
    <x:row r="155">
      <x:c r="A155" s="1" t="str">
        <x:v>P0181</x:v>
      </x:c>
      <x:c r="B155" s="6" t="n">
        <x:v>46165.3125</x:v>
      </x:c>
      <x:c r="C155" s="1" t="str">
        <x:v>C042</x:v>
      </x:c>
      <x:c r="D155" s="1" t="str">
        <x:v>Mini Súper La Bendición</x:v>
      </x:c>
      <x:c r="E155" s="1" t="str">
        <x:v>San Francisco</x:v>
      </x:c>
      <x:c r="F155" s="7" t="n">
        <x:v>15.64942224496931</x:v>
      </x:c>
      <x:c r="G155" s="7" t="n">
        <x:v>-86.98247971654797</x:v>
      </x:c>
      <x:c r="H155" s="1" t="str">
        <x:v>R005</x:v>
      </x:c>
      <x:c r="I155" s="1" t="str">
        <x:v>José Martínez</x:v>
      </x:c>
      <x:c r="J155" s="1" t="str">
        <x:v>V005</x:v>
      </x:c>
      <x:c r="K155" s="1" t="str">
        <x:v>Camión pequeño</x:v>
      </x:c>
      <x:c r="L155" s="1" t="str">
        <x:v>RT-20260523-R005</x:v>
      </x:c>
      <x:c r="M155" s="1" t="str">
        <x:v>07:19</x:v>
      </x:c>
      <x:c r="N155" s="1" t="str">
        <x:v>07:30</x:v>
      </x:c>
      <x:c r="O155" s="1" t="n">
        <x:v>11</x:v>
      </x:c>
      <x:c r="P155" s="5" t="n">
        <x:f>ROUND(X155+Y155,2)</x:f>
        <x:v>73.78</x:v>
      </x:c>
      <x:c r="Q155" s="5" t="n">
        <x:f>ROUND(P155/Vehiculos!$E$6*Vehiculos!$F$6,2)</x:f>
        <x:v>351.61</x:v>
      </x:c>
      <x:c r="R155" s="1" t="str">
        <x:v>Entregado</x:v>
      </x:c>
      <x:c r="S155" s="1" t="str">
        <x:v>Media</x:v>
      </x:c>
      <x:c r="T155" s="1" t="n">
        <x:v>1</x:v>
      </x:c>
      <x:c r="U155" s="1" t="n">
        <x:v>1</x:v>
      </x:c>
      <x:c r="V155" s="5" t="n">
        <x:v>5040.57</x:v>
      </x:c>
      <x:c r="W155" s="1" t="str">
        <x:v>08:50</x:v>
      </x:c>
      <x:c r="X155" s="1" t="n">
        <x:v>3.78</x:v>
      </x:c>
      <x:c r="Y155" s="1" t="n">
        <x:f>Parametros_Operacion!$B$8*2</x:f>
        <x:v>70</x:v>
      </x:c>
    </x:row>
    <x:row r="156">
      <x:c r="A156" s="1" t="str">
        <x:v>P0148</x:v>
      </x:c>
      <x:c r="B156" s="6" t="n">
        <x:v>46165.31527777778</x:v>
      </x:c>
      <x:c r="C156" s="1" t="str">
        <x:v>C004</x:v>
      </x:c>
      <x:c r="D156" s="1" t="str">
        <x:v>Comercial Rivera</x:v>
      </x:c>
      <x:c r="E156" s="1" t="str">
        <x:v>La Masica</x:v>
      </x:c>
      <x:c r="F156" s="7" t="n">
        <x:v>15.60892338902915</x:v>
      </x:c>
      <x:c r="G156" s="7" t="n">
        <x:v>-86.73871508090915</x:v>
      </x:c>
      <x:c r="H156" s="1" t="str">
        <x:v>R004</x:v>
      </x:c>
      <x:c r="I156" s="1" t="str">
        <x:v>Daniela Cruz</x:v>
      </x:c>
      <x:c r="J156" s="1" t="str">
        <x:v>V004</x:v>
      </x:c>
      <x:c r="K156" s="1" t="str">
        <x:v>Pickup con carrocería</x:v>
      </x:c>
      <x:c r="L156" s="1" t="str">
        <x:v>RT-20260523-R004</x:v>
      </x:c>
      <x:c r="M156" s="1" t="str">
        <x:v>07:20</x:v>
      </x:c>
      <x:c r="N156" s="1" t="str">
        <x:v>07:34</x:v>
      </x:c>
      <x:c r="O156" s="1" t="n">
        <x:v>14</x:v>
      </x:c>
      <x:c r="P156" s="5" t="n">
        <x:f>ROUND(X156+Y156,2)</x:f>
        <x:v>45.78</x:v>
      </x:c>
      <x:c r="Q156" s="5" t="n">
        <x:f>ROUND(P156/Vehiculos!$E$5*Vehiculos!$F$5,2)</x:f>
        <x:v>166.23</x:v>
      </x:c>
      <x:c r="R156" s="1" t="str">
        <x:v>Entregado</x:v>
      </x:c>
      <x:c r="S156" s="1" t="str">
        <x:v>Alta</x:v>
      </x:c>
      <x:c r="T156" s="1" t="n">
        <x:v>1</x:v>
      </x:c>
      <x:c r="U156" s="1" t="n">
        <x:v>1</x:v>
      </x:c>
      <x:c r="V156" s="5" t="n">
        <x:v>2232.31</x:v>
      </x:c>
      <x:c r="W156" s="1" t="str">
        <x:v>08:20</x:v>
      </x:c>
      <x:c r="X156" s="1" t="n">
        <x:v>4.58</x:v>
      </x:c>
      <x:c r="Y156" s="1" t="n">
        <x:f>Parametros_Operacion!$B$7*1</x:f>
        <x:v>41.2</x:v>
      </x:c>
    </x:row>
    <x:row r="157">
      <x:c r="A157" s="1" t="str">
        <x:v>P0165</x:v>
      </x:c>
      <x:c r="B157" s="6" t="n">
        <x:v>46165.322222222225</x:v>
      </x:c>
      <x:c r="C157" s="1" t="str">
        <x:v>C012</x:v>
      </x:c>
      <x:c r="D157" s="1" t="str">
        <x:v>Mini Súper Atlántida</x:v>
      </x:c>
      <x:c r="E157" s="1" t="str">
        <x:v>La Masica</x:v>
      </x:c>
      <x:c r="F157" s="7" t="n">
        <x:v>15.61789367249307</x:v>
      </x:c>
      <x:c r="G157" s="7" t="n">
        <x:v>-86.73642461377005</x:v>
      </x:c>
      <x:c r="H157" s="1" t="str">
        <x:v>R004</x:v>
      </x:c>
      <x:c r="I157" s="1" t="str">
        <x:v>Daniela Cruz</x:v>
      </x:c>
      <x:c r="J157" s="1" t="str">
        <x:v>V004</x:v>
      </x:c>
      <x:c r="K157" s="1" t="str">
        <x:v>Pickup con carrocería</x:v>
      </x:c>
      <x:c r="L157" s="1" t="str">
        <x:v>RT-20260523-R004</x:v>
      </x:c>
      <x:c r="M157" s="1" t="str">
        <x:v>07:34</x:v>
      </x:c>
      <x:c r="N157" s="1" t="str">
        <x:v>07:44</x:v>
      </x:c>
      <x:c r="O157" s="1" t="n">
        <x:v>10</x:v>
      </x:c>
      <x:c r="P157" s="5" t="n">
        <x:f>ROUND(X157+Y157,2)</x:f>
        <x:v>1.28</x:v>
      </x:c>
      <x:c r="Q157" s="5" t="n">
        <x:f>ROUND(P157/Vehiculos!$E$5*Vehiculos!$F$5,2)</x:f>
        <x:v>4.65</x:v>
      </x:c>
      <x:c r="R157" s="1" t="str">
        <x:v>Entregado</x:v>
      </x:c>
      <x:c r="S157" s="1" t="str">
        <x:v>Media</x:v>
      </x:c>
      <x:c r="T157" s="1" t="n">
        <x:v>2</x:v>
      </x:c>
      <x:c r="U157" s="1" t="n">
        <x:v>3</x:v>
      </x:c>
      <x:c r="V157" s="5" t="n">
        <x:v>4760.89</x:v>
      </x:c>
      <x:c r="W157" s="1" t="str">
        <x:v>08:50</x:v>
      </x:c>
      <x:c r="X157" s="1" t="n">
        <x:v>1.28</x:v>
      </x:c>
      <x:c r="Y157" s="1" t="n">
        <x:f>Parametros_Operacion!$B$7*0</x:f>
        <x:v>0</x:v>
      </x:c>
    </x:row>
    <x:row r="158">
      <x:c r="A158" s="1" t="str">
        <x:v>P0120</x:v>
      </x:c>
      <x:c r="B158" s="6" t="n">
        <x:v>46165.32916666667</x:v>
      </x:c>
      <x:c r="C158" s="1" t="str">
        <x:v>C004</x:v>
      </x:c>
      <x:c r="D158" s="1" t="str">
        <x:v>Comercial Rivera</x:v>
      </x:c>
      <x:c r="E158" s="1" t="str">
        <x:v>La Masica</x:v>
      </x:c>
      <x:c r="F158" s="7" t="n">
        <x:v>15.60892338902915</x:v>
      </x:c>
      <x:c r="G158" s="7" t="n">
        <x:v>-86.73871508090915</x:v>
      </x:c>
      <x:c r="H158" s="1" t="str">
        <x:v>R004</x:v>
      </x:c>
      <x:c r="I158" s="1" t="str">
        <x:v>Daniela Cruz</x:v>
      </x:c>
      <x:c r="J158" s="1" t="str">
        <x:v>V004</x:v>
      </x:c>
      <x:c r="K158" s="1" t="str">
        <x:v>Pickup con carrocería</x:v>
      </x:c>
      <x:c r="L158" s="1" t="str">
        <x:v>RT-20260523-R004</x:v>
      </x:c>
      <x:c r="M158" s="1" t="str">
        <x:v>07:44</x:v>
      </x:c>
      <x:c r="N158" s="1" t="str">
        <x:v>07:54</x:v>
      </x:c>
      <x:c r="O158" s="1" t="n">
        <x:v>10</x:v>
      </x:c>
      <x:c r="P158" s="5" t="n">
        <x:f>ROUND(X158+Y158,2)</x:f>
        <x:v>47.06</x:v>
      </x:c>
      <x:c r="Q158" s="5" t="n">
        <x:f>ROUND(P158/Vehiculos!$E$5*Vehiculos!$F$5,2)</x:f>
        <x:v>170.87</x:v>
      </x:c>
      <x:c r="R158" s="1" t="str">
        <x:v>Entregado</x:v>
      </x:c>
      <x:c r="S158" s="1" t="str">
        <x:v>Media</x:v>
      </x:c>
      <x:c r="T158" s="1" t="n">
        <x:v>3</x:v>
      </x:c>
      <x:c r="U158" s="1" t="n">
        <x:v>2</x:v>
      </x:c>
      <x:c r="V158" s="5" t="n">
        <x:v>2158.47</x:v>
      </x:c>
      <x:c r="W158" s="1" t="str">
        <x:v>08:50</x:v>
      </x:c>
      <x:c r="X158" s="1" t="n">
        <x:v>5.86</x:v>
      </x:c>
      <x:c r="Y158" s="1" t="n">
        <x:f>Parametros_Operacion!$B$7*1</x:f>
        <x:v>41.2</x:v>
      </x:c>
    </x:row>
    <x:row r="159">
      <x:c r="A159" s="1" t="str">
        <x:v>P0058</x:v>
      </x:c>
      <x:c r="B159" s="6" t="n">
        <x:v>46165.34444444445</x:v>
      </x:c>
      <x:c r="C159" s="1" t="str">
        <x:v>C039</x:v>
      </x:c>
      <x:c r="D159" s="1" t="str">
        <x:v>Pulpería El Centroamericano</x:v>
      </x:c>
      <x:c r="E159" s="1" t="str">
        <x:v>Arizona</x:v>
      </x:c>
      <x:c r="F159" s="7" t="n">
        <x:v>15.60052974847786</x:v>
      </x:c>
      <x:c r="G159" s="7" t="n">
        <x:v>-87.3798685955568</x:v>
      </x:c>
      <x:c r="H159" s="1" t="str">
        <x:v>R006</x:v>
      </x:c>
      <x:c r="I159" s="1" t="str">
        <x:v>Kevin Flores</x:v>
      </x:c>
      <x:c r="J159" s="1" t="str">
        <x:v>V006</x:v>
      </x:c>
      <x:c r="K159" s="1" t="str">
        <x:v>Pickup con carrocería</x:v>
      </x:c>
      <x:c r="L159" s="1" t="str">
        <x:v>RT-20260523-R006</x:v>
      </x:c>
      <x:c r="M159" s="1" t="str">
        <x:v>08:03</x:v>
      </x:c>
      <x:c r="N159" s="1" t="str">
        <x:v>08:16</x:v>
      </x:c>
      <x:c r="O159" s="1" t="n">
        <x:v>13</x:v>
      </x:c>
      <x:c r="P159" s="5" t="n">
        <x:f>ROUND(X159+Y159,2)</x:f>
        <x:v>76.08</x:v>
      </x:c>
      <x:c r="Q159" s="5" t="n">
        <x:f>ROUND(P159/Vehiculos!$E$7*Vehiculos!$F$7,2)</x:f>
        <x:v>290.06</x:v>
      </x:c>
      <x:c r="R159" s="1" t="str">
        <x:v>Entregado</x:v>
      </x:c>
      <x:c r="S159" s="1" t="str">
        <x:v>Baja</x:v>
      </x:c>
      <x:c r="T159" s="1" t="n">
        <x:v>1</x:v>
      </x:c>
      <x:c r="U159" s="1" t="n">
        <x:v>2</x:v>
      </x:c>
      <x:c r="V159" s="5" t="n">
        <x:v>2760.96</x:v>
      </x:c>
      <x:c r="W159" s="1" t="str">
        <x:v>09:30</x:v>
      </x:c>
      <x:c r="X159" s="1" t="n">
        <x:v>3.58</x:v>
      </x:c>
      <x:c r="Y159" s="1" t="n">
        <x:f>Parametros_Operacion!$B$2*1</x:f>
        <x:v>72.5</x:v>
      </x:c>
    </x:row>
    <x:row r="160">
      <x:c r="A160" s="1" t="str">
        <x:v>P0189</x:v>
      </x:c>
      <x:c r="B160" s="6" t="n">
        <x:v>46165.34722222222</x:v>
      </x:c>
      <x:c r="C160" s="1" t="str">
        <x:v>C045</x:v>
      </x:c>
      <x:c r="D160" s="1" t="str">
        <x:v>Mini Market San José</x:v>
      </x:c>
      <x:c r="E160" s="1" t="str">
        <x:v>Esparta</x:v>
      </x:c>
      <x:c r="F160" s="7" t="n">
        <x:v>15.63866963202749</x:v>
      </x:c>
      <x:c r="G160" s="7" t="n">
        <x:v>-87.28674513285189</x:v>
      </x:c>
      <x:c r="H160" s="1" t="str">
        <x:v>R007</x:v>
      </x:c>
      <x:c r="I160" s="1" t="str">
        <x:v>María Hernández</x:v>
      </x:c>
      <x:c r="J160" s="1" t="str">
        <x:v>V007</x:v>
      </x:c>
      <x:c r="K160" s="1" t="str">
        <x:v>Pickup con carrocería</x:v>
      </x:c>
      <x:c r="L160" s="1" t="str">
        <x:v>RT-20260523-R007</x:v>
      </x:c>
      <x:c r="M160" s="1" t="str">
        <x:v>08:08</x:v>
      </x:c>
      <x:c r="N160" s="1" t="str">
        <x:v>08:20</x:v>
      </x:c>
      <x:c r="O160" s="1" t="n">
        <x:v>12</x:v>
      </x:c>
      <x:c r="P160" s="5" t="n">
        <x:f>ROUND(X160+Y160,2)</x:f>
        <x:v>157.58</x:v>
      </x:c>
      <x:c r="Q160" s="5" t="n">
        <x:f>ROUND(P160/Vehiculos!$E$8*Vehiculos!$F$8,2)</x:f>
        <x:v>600.78</x:v>
      </x:c>
      <x:c r="R160" s="1" t="str">
        <x:v>Entregado</x:v>
      </x:c>
      <x:c r="S160" s="1" t="str">
        <x:v>Media</x:v>
      </x:c>
      <x:c r="T160" s="1" t="n">
        <x:v>1</x:v>
      </x:c>
      <x:c r="U160" s="1" t="n">
        <x:v>1</x:v>
      </x:c>
      <x:c r="V160" s="5" t="n">
        <x:v>3677.77</x:v>
      </x:c>
      <x:c r="W160" s="1" t="str">
        <x:v>08:50</x:v>
      </x:c>
      <x:c r="X160" s="1" t="n">
        <x:v>6.58</x:v>
      </x:c>
      <x:c r="Y160" s="1" t="n">
        <x:f>Parametros_Operacion!$B$4*2</x:f>
        <x:v>151</x:v>
      </x:c>
    </x:row>
    <x:row r="161">
      <x:c r="A161" s="1" t="str">
        <x:v>P0174</x:v>
      </x:c>
      <x:c r="B161" s="6" t="n">
        <x:v>46165.35486111111</x:v>
      </x:c>
      <x:c r="C161" s="1" t="str">
        <x:v>C040</x:v>
      </x:c>
      <x:c r="D161" s="1" t="str">
        <x:v>Mercadito La Familia</x:v>
      </x:c>
      <x:c r="E161" s="1" t="str">
        <x:v>Arizona</x:v>
      </x:c>
      <x:c r="F161" s="7" t="n">
        <x:v>15.60480443071797</x:v>
      </x:c>
      <x:c r="G161" s="7" t="n">
        <x:v>-87.339316667913</x:v>
      </x:c>
      <x:c r="H161" s="1" t="str">
        <x:v>R006</x:v>
      </x:c>
      <x:c r="I161" s="1" t="str">
        <x:v>Kevin Flores</x:v>
      </x:c>
      <x:c r="J161" s="1" t="str">
        <x:v>V006</x:v>
      </x:c>
      <x:c r="K161" s="1" t="str">
        <x:v>Pickup con carrocería</x:v>
      </x:c>
      <x:c r="L161" s="1" t="str">
        <x:v>RT-20260523-R006</x:v>
      </x:c>
      <x:c r="M161" s="1" t="str">
        <x:v>08:16</x:v>
      </x:c>
      <x:c r="N161" s="1" t="str">
        <x:v>08:31</x:v>
      </x:c>
      <x:c r="O161" s="1" t="n">
        <x:v>15</x:v>
      </x:c>
      <x:c r="P161" s="5" t="n">
        <x:f>ROUND(X161+Y161,2)</x:f>
        <x:v>5.46</x:v>
      </x:c>
      <x:c r="Q161" s="5" t="n">
        <x:f>ROUND(P161/Vehiculos!$E$7*Vehiculos!$F$7,2)</x:f>
        <x:v>20.82</x:v>
      </x:c>
      <x:c r="R161" s="1" t="str">
        <x:v>Entregado</x:v>
      </x:c>
      <x:c r="S161" s="1" t="str">
        <x:v>Media</x:v>
      </x:c>
      <x:c r="T161" s="1" t="n">
        <x:v>2</x:v>
      </x:c>
      <x:c r="U161" s="1" t="n">
        <x:v>1</x:v>
      </x:c>
      <x:c r="V161" s="5" t="n">
        <x:v>1826.91</x:v>
      </x:c>
      <x:c r="W161" s="1" t="str">
        <x:v>08:50</x:v>
      </x:c>
      <x:c r="X161" s="1" t="n">
        <x:v>5.46</x:v>
      </x:c>
      <x:c r="Y161" s="1" t="n">
        <x:f>Parametros_Operacion!$B$2*0</x:f>
        <x:v>0</x:v>
      </x:c>
    </x:row>
    <x:row r="162">
      <x:c r="A162" s="1" t="str">
        <x:v>P0187</x:v>
      </x:c>
      <x:c r="B162" s="6" t="n">
        <x:v>46165.368055555555</x:v>
      </x:c>
      <x:c r="C162" s="1" t="str">
        <x:v>C007</x:v>
      </x:c>
      <x:c r="D162" s="1" t="str">
        <x:v>Distribuidora El Faro</x:v>
      </x:c>
      <x:c r="E162" s="1" t="str">
        <x:v>Arizona</x:v>
      </x:c>
      <x:c r="F162" s="7" t="n">
        <x:v>15.65824299089472</x:v>
      </x:c>
      <x:c r="G162" s="7" t="n">
        <x:v>-87.37734008221386</x:v>
      </x:c>
      <x:c r="H162" s="1" t="str">
        <x:v>R006</x:v>
      </x:c>
      <x:c r="I162" s="1" t="str">
        <x:v>Kevin Flores</x:v>
      </x:c>
      <x:c r="J162" s="1" t="str">
        <x:v>V006</x:v>
      </x:c>
      <x:c r="K162" s="1" t="str">
        <x:v>Pickup con carrocería</x:v>
      </x:c>
      <x:c r="L162" s="1" t="str">
        <x:v>RT-20260523-R006</x:v>
      </x:c>
      <x:c r="M162" s="1" t="str">
        <x:v>08:31</x:v>
      </x:c>
      <x:c r="N162" s="1" t="str">
        <x:v>08:50</x:v>
      </x:c>
      <x:c r="O162" s="1" t="n">
        <x:v>19</x:v>
      </x:c>
      <x:c r="P162" s="5" t="n">
        <x:f>ROUND(X162+Y162,2)</x:f>
        <x:v>87.74</x:v>
      </x:c>
      <x:c r="Q162" s="5" t="n">
        <x:f>ROUND(P162/Vehiculos!$E$7*Vehiculos!$F$7,2)</x:f>
        <x:v>334.51</x:v>
      </x:c>
      <x:c r="R162" s="1" t="str">
        <x:v>Entregado</x:v>
      </x:c>
      <x:c r="S162" s="1" t="str">
        <x:v>Media</x:v>
      </x:c>
      <x:c r="T162" s="1" t="n">
        <x:v>3</x:v>
      </x:c>
      <x:c r="U162" s="1" t="n">
        <x:v>3</x:v>
      </x:c>
      <x:c r="V162" s="5" t="n">
        <x:v>5040.33</x:v>
      </x:c>
      <x:c r="W162" s="1" t="str">
        <x:v>08:50</x:v>
      </x:c>
      <x:c r="X162" s="1" t="n">
        <x:v>15.24</x:v>
      </x:c>
      <x:c r="Y162" s="1" t="n">
        <x:f>Parametros_Operacion!$B$2*1</x:f>
        <x:v>72.5</x:v>
      </x:c>
    </x:row>
    <x:row r="163">
      <x:c r="A163" s="1" t="str">
        <x:v>P0026</x:v>
      </x:c>
      <x:c r="B163" s="6" t="n">
        <x:v>46166.27916666667</x:v>
      </x:c>
      <x:c r="C163" s="1" t="str">
        <x:v>C020</x:v>
      </x:c>
      <x:c r="D163" s="1" t="str">
        <x:v>Mercadito La Familia</x:v>
      </x:c>
      <x:c r="E163" s="1" t="str">
        <x:v>La Ceiba</x:v>
      </x:c>
      <x:c r="F163" s="7" t="n">
        <x:v>15.78142376519329</x:v>
      </x:c>
      <x:c r="G163" s="7" t="n">
        <x:v>-86.81607163140897</x:v>
      </x:c>
      <x:c r="H163" s="1" t="str">
        <x:v>R001</x:v>
      </x:c>
      <x:c r="I163" s="1" t="str">
        <x:v>Carlos Mejía</x:v>
      </x:c>
      <x:c r="J163" s="1" t="str">
        <x:v>V001</x:v>
      </x:c>
      <x:c r="K163" s="1" t="str">
        <x:v>Pickup con carrocería</x:v>
      </x:c>
      <x:c r="L163" s="1" t="str">
        <x:v>RT-20260524-R001</x:v>
      </x:c>
      <x:c r="M163" s="1" t="str">
        <x:v>06:30</x:v>
      </x:c>
      <x:c r="N163" s="1" t="str">
        <x:v>06:42</x:v>
      </x:c>
      <x:c r="O163" s="1" t="n">
        <x:v>12</x:v>
      </x:c>
      <x:c r="P163" s="5" t="n">
        <x:f>ROUND(X163+Y163,2)</x:f>
        <x:v>6.48</x:v>
      </x:c>
      <x:c r="Q163" s="5" t="n">
        <x:f>ROUND(P163/Vehiculos!$E$2*Vehiculos!$F$2,2)</x:f>
        <x:v>22.46</x:v>
      </x:c>
      <x:c r="R163" s="1" t="str">
        <x:v>Entregado</x:v>
      </x:c>
      <x:c r="S163" s="1" t="str">
        <x:v>Media</x:v>
      </x:c>
      <x:c r="T163" s="1" t="n">
        <x:v>1</x:v>
      </x:c>
      <x:c r="U163" s="1" t="n">
        <x:v>1</x:v>
      </x:c>
      <x:c r="V163" s="5" t="n">
        <x:v>1683.18</x:v>
      </x:c>
      <x:c r="W163" s="1" t="str">
        <x:v>08:50</x:v>
      </x:c>
      <x:c r="X163" s="1" t="n">
        <x:v>6.48</x:v>
      </x:c>
      <x:c r="Y163" s="1" t="n">
        <x:f>Parametros_Operacion!$B$6*0</x:f>
        <x:v>0</x:v>
      </x:c>
    </x:row>
    <x:row r="164">
      <x:c r="A164" s="1" t="str">
        <x:v>P0166</x:v>
      </x:c>
      <x:c r="B164" s="6" t="n">
        <x:v>46166.31319444445</x:v>
      </x:c>
      <x:c r="C164" s="1" t="str">
        <x:v>C009</x:v>
      </x:c>
      <x:c r="D164" s="1" t="str">
        <x:v>Mini Súper El Triunfo</x:v>
      </x:c>
      <x:c r="E164" s="1" t="str">
        <x:v>San Francisco</x:v>
      </x:c>
      <x:c r="F164" s="7" t="n">
        <x:v>15.6694910790675</x:v>
      </x:c>
      <x:c r="G164" s="7" t="n">
        <x:v>-87.00719051029638</x:v>
      </x:c>
      <x:c r="H164" s="1" t="str">
        <x:v>R005</x:v>
      </x:c>
      <x:c r="I164" s="1" t="str">
        <x:v>José Martínez</x:v>
      </x:c>
      <x:c r="J164" s="1" t="str">
        <x:v>V005</x:v>
      </x:c>
      <x:c r="K164" s="1" t="str">
        <x:v>Camión pequeño</x:v>
      </x:c>
      <x:c r="L164" s="1" t="str">
        <x:v>RT-20260524-R005</x:v>
      </x:c>
      <x:c r="M164" s="1" t="str">
        <x:v>07:19</x:v>
      </x:c>
      <x:c r="N164" s="1" t="str">
        <x:v>07:31</x:v>
      </x:c>
      <x:c r="O164" s="1" t="n">
        <x:v>12</x:v>
      </x:c>
      <x:c r="P164" s="5" t="n">
        <x:f>ROUND(X164+Y164,2)</x:f>
        <x:v>76.04</x:v>
      </x:c>
      <x:c r="Q164" s="5" t="n">
        <x:f>ROUND(P164/Vehiculos!$E$6*Vehiculos!$F$6,2)</x:f>
        <x:v>362.38</x:v>
      </x:c>
      <x:c r="R164" s="1" t="str">
        <x:v>Entregado</x:v>
      </x:c>
      <x:c r="S164" s="1" t="str">
        <x:v>Media</x:v>
      </x:c>
      <x:c r="T164" s="1" t="n">
        <x:v>1</x:v>
      </x:c>
      <x:c r="U164" s="1" t="n">
        <x:v>1</x:v>
      </x:c>
      <x:c r="V164" s="5" t="n">
        <x:v>1978.9</x:v>
      </x:c>
      <x:c r="W164" s="1" t="str">
        <x:v>08:50</x:v>
      </x:c>
      <x:c r="X164" s="1" t="n">
        <x:v>6.04</x:v>
      </x:c>
      <x:c r="Y164" s="1" t="n">
        <x:f>Parametros_Operacion!$B$8*2</x:f>
        <x:v>70</x:v>
      </x:c>
    </x:row>
    <x:row r="165">
      <x:c r="A165" s="1" t="str">
        <x:v>P0094</x:v>
      </x:c>
      <x:c r="B165" s="6" t="n">
        <x:v>46166.345138888886</x:v>
      </x:c>
      <x:c r="C165" s="1" t="str">
        <x:v>C056</x:v>
      </x:c>
      <x:c r="D165" s="1" t="str">
        <x:v>Pulpería Los Amigos</x:v>
      </x:c>
      <x:c r="E165" s="1" t="str">
        <x:v>Arizona</x:v>
      </x:c>
      <x:c r="F165" s="7" t="n">
        <x:v>15.60141629778186</x:v>
      </x:c>
      <x:c r="G165" s="7" t="n">
        <x:v>-87.32913205719288</x:v>
      </x:c>
      <x:c r="H165" s="1" t="str">
        <x:v>R006</x:v>
      </x:c>
      <x:c r="I165" s="1" t="str">
        <x:v>Kevin Flores</x:v>
      </x:c>
      <x:c r="J165" s="1" t="str">
        <x:v>V006</x:v>
      </x:c>
      <x:c r="K165" s="1" t="str">
        <x:v>Pickup con carrocería</x:v>
      </x:c>
      <x:c r="L165" s="1" t="str">
        <x:v>RT-20260524-R006</x:v>
      </x:c>
      <x:c r="M165" s="1" t="str">
        <x:v>08:03</x:v>
      </x:c>
      <x:c r="N165" s="1" t="str">
        <x:v>08:17</x:v>
      </x:c>
      <x:c r="O165" s="1" t="n">
        <x:v>14</x:v>
      </x:c>
      <x:c r="P165" s="5" t="n">
        <x:f>ROUND(X165+Y165,2)</x:f>
        <x:v>77.06</x:v>
      </x:c>
      <x:c r="Q165" s="5" t="n">
        <x:f>ROUND(P165/Vehiculos!$E$7*Vehiculos!$F$7,2)</x:f>
        <x:v>293.79</x:v>
      </x:c>
      <x:c r="R165" s="1" t="str">
        <x:v>Entregado</x:v>
      </x:c>
      <x:c r="S165" s="1" t="str">
        <x:v>Media</x:v>
      </x:c>
      <x:c r="T165" s="1" t="n">
        <x:v>1</x:v>
      </x:c>
      <x:c r="U165" s="1" t="n">
        <x:v>1</x:v>
      </x:c>
      <x:c r="V165" s="5" t="n">
        <x:v>1478.23</x:v>
      </x:c>
      <x:c r="W165" s="1" t="str">
        <x:v>08:50</x:v>
      </x:c>
      <x:c r="X165" s="1" t="n">
        <x:v>4.56</x:v>
      </x:c>
      <x:c r="Y165" s="1" t="n">
        <x:f>Parametros_Operacion!$B$2*1</x:f>
        <x:v>72.5</x:v>
      </x:c>
    </x:row>
    <x:row r="166">
      <x:c r="A166" s="1" t="str">
        <x:v>P0193</x:v>
      </x:c>
      <x:c r="B166" s="6" t="n">
        <x:v>46166.35555555556</x:v>
      </x:c>
      <x:c r="C166" s="1" t="str">
        <x:v>C060</x:v>
      </x:c>
      <x:c r="D166" s="1" t="str">
        <x:v>Mercadito La Familia</x:v>
      </x:c>
      <x:c r="E166" s="1" t="str">
        <x:v>Arizona</x:v>
      </x:c>
      <x:c r="F166" s="7" t="n">
        <x:v>15.61974440819844</x:v>
      </x:c>
      <x:c r="G166" s="7" t="n">
        <x:v>-87.36335246769889</x:v>
      </x:c>
      <x:c r="H166" s="1" t="str">
        <x:v>R006</x:v>
      </x:c>
      <x:c r="I166" s="1" t="str">
        <x:v>Kevin Flores</x:v>
      </x:c>
      <x:c r="J166" s="1" t="str">
        <x:v>V006</x:v>
      </x:c>
      <x:c r="K166" s="1" t="str">
        <x:v>Pickup con carrocería</x:v>
      </x:c>
      <x:c r="L166" s="1" t="str">
        <x:v>RT-20260524-R006</x:v>
      </x:c>
      <x:c r="M166" s="1" t="str">
        <x:v>08:17</x:v>
      </x:c>
      <x:c r="N166" s="1" t="str">
        <x:v>08:32</x:v>
      </x:c>
      <x:c r="O166" s="1" t="n">
        <x:v>15</x:v>
      </x:c>
      <x:c r="P166" s="5" t="n">
        <x:f>ROUND(X166+Y166,2)</x:f>
        <x:v>78.43</x:v>
      </x:c>
      <x:c r="Q166" s="5" t="n">
        <x:f>ROUND(P166/Vehiculos!$E$7*Vehiculos!$F$7,2)</x:f>
        <x:v>299.02</x:v>
      </x:c>
      <x:c r="R166" s="1" t="str">
        <x:v>Entregado</x:v>
      </x:c>
      <x:c r="S166" s="1" t="str">
        <x:v>Media</x:v>
      </x:c>
      <x:c r="T166" s="1" t="n">
        <x:v>2</x:v>
      </x:c>
      <x:c r="U166" s="1" t="n">
        <x:v>2</x:v>
      </x:c>
      <x:c r="V166" s="5" t="n">
        <x:v>5434.7</x:v>
      </x:c>
      <x:c r="W166" s="1" t="str">
        <x:v>08:50</x:v>
      </x:c>
      <x:c r="X166" s="1" t="n">
        <x:v>5.93</x:v>
      </x:c>
      <x:c r="Y166" s="1" t="n">
        <x:f>Parametros_Operacion!$B$2*1</x:f>
        <x:v>72.5</x:v>
      </x:c>
    </x:row>
    <x:row r="167">
      <x:c r="A167" s="1" t="str">
        <x:v>P0180</x:v>
      </x:c>
      <x:c r="B167" s="6" t="n">
        <x:v>46166.36736111111</x:v>
      </x:c>
      <x:c r="C167" s="1" t="str">
        <x:v>C059</x:v>
      </x:c>
      <x:c r="D167" s="1" t="str">
        <x:v>Pulpería El Centroamericano</x:v>
      </x:c>
      <x:c r="E167" s="1" t="str">
        <x:v>Tela</x:v>
      </x:c>
      <x:c r="F167" s="7" t="n">
        <x:v>15.78985251396864</x:v>
      </x:c>
      <x:c r="G167" s="7" t="n">
        <x:v>-87.46255549737951</x:v>
      </x:c>
      <x:c r="H167" s="1" t="str">
        <x:v>R002</x:v>
      </x:c>
      <x:c r="I167" s="1" t="str">
        <x:v>Ana López</x:v>
      </x:c>
      <x:c r="J167" s="1" t="str">
        <x:v>V002</x:v>
      </x:c>
      <x:c r="K167" s="1" t="str">
        <x:v>Pickup con carrocería</x:v>
      </x:c>
      <x:c r="L167" s="1" t="str">
        <x:v>RT-20260524-R002</x:v>
      </x:c>
      <x:c r="M167" s="1" t="str">
        <x:v>08:38</x:v>
      </x:c>
      <x:c r="N167" s="1" t="str">
        <x:v>08:49</x:v>
      </x:c>
      <x:c r="O167" s="1" t="n">
        <x:v>11</x:v>
      </x:c>
      <x:c r="P167" s="5" t="n">
        <x:f>ROUND(X167+Y167,2)</x:f>
        <x:v>104.31</x:v>
      </x:c>
      <x:c r="Q167" s="5" t="n">
        <x:f>ROUND(P167/Vehiculos!$E$3*Vehiculos!$F$3,2)</x:f>
        <x:v>378.75</x:v>
      </x:c>
      <x:c r="R167" s="1" t="str">
        <x:v>Entregado</x:v>
      </x:c>
      <x:c r="S167" s="1" t="str">
        <x:v>Media</x:v>
      </x:c>
      <x:c r="T167" s="1" t="n">
        <x:v>1</x:v>
      </x:c>
      <x:c r="U167" s="1" t="n">
        <x:v>1</x:v>
      </x:c>
      <x:c r="V167" s="5" t="n">
        <x:v>2397.98</x:v>
      </x:c>
      <x:c r="W167" s="1" t="str">
        <x:v>08:50</x:v>
      </x:c>
      <x:c r="X167" s="1" t="n">
        <x:v>2.01</x:v>
      </x:c>
      <x:c r="Y167" s="1" t="n">
        <x:f>Parametros_Operacion!$B$9*1</x:f>
        <x:v>102.3</x:v>
      </x:c>
    </x:row>
    <x:row r="168">
      <x:c r="A168" s="1" t="str">
        <x:v>P0176</x:v>
      </x:c>
      <x:c r="B168" s="6" t="n">
        <x:v>46166.37847222222</x:v>
      </x:c>
      <x:c r="C168" s="1" t="str">
        <x:v>C046</x:v>
      </x:c>
      <x:c r="D168" s="1" t="str">
        <x:v>Abarrotería El Centro</x:v>
      </x:c>
      <x:c r="E168" s="1" t="str">
        <x:v>Tela</x:v>
      </x:c>
      <x:c r="F168" s="7" t="n">
        <x:v>15.75345936034755</x:v>
      </x:c>
      <x:c r="G168" s="7" t="n">
        <x:v>-87.43026035645514</x:v>
      </x:c>
      <x:c r="H168" s="1" t="str">
        <x:v>R002</x:v>
      </x:c>
      <x:c r="I168" s="1" t="str">
        <x:v>Ana López</x:v>
      </x:c>
      <x:c r="J168" s="1" t="str">
        <x:v>V002</x:v>
      </x:c>
      <x:c r="K168" s="1" t="str">
        <x:v>Pickup con carrocería</x:v>
      </x:c>
      <x:c r="L168" s="1" t="str">
        <x:v>RT-20260524-R002</x:v>
      </x:c>
      <x:c r="M168" s="1" t="str">
        <x:v>08:49</x:v>
      </x:c>
      <x:c r="N168" s="1" t="str">
        <x:v>09:05</x:v>
      </x:c>
      <x:c r="O168" s="1" t="n">
        <x:v>16</x:v>
      </x:c>
      <x:c r="P168" s="5" t="n">
        <x:f>ROUND(X168+Y168,2)</x:f>
        <x:v>113.6</x:v>
      </x:c>
      <x:c r="Q168" s="5" t="n">
        <x:f>ROUND(P168/Vehiculos!$E$3*Vehiculos!$F$3,2)</x:f>
        <x:v>412.48</x:v>
      </x:c>
      <x:c r="R168" s="1" t="str">
        <x:v>Retrasado</x:v>
      </x:c>
      <x:c r="S168" s="1" t="str">
        <x:v>Media</x:v>
      </x:c>
      <x:c r="T168" s="1" t="n">
        <x:v>2</x:v>
      </x:c>
      <x:c r="U168" s="1" t="n">
        <x:v>2</x:v>
      </x:c>
      <x:c r="V168" s="5" t="n">
        <x:v>3352.5</x:v>
      </x:c>
      <x:c r="W168" s="1" t="str">
        <x:v>08:50</x:v>
      </x:c>
      <x:c r="X168" s="1" t="n">
        <x:v>11.3</x:v>
      </x:c>
      <x:c r="Y168" s="1" t="n">
        <x:f>Parametros_Operacion!$B$9*1</x:f>
        <x:v>102.3</x:v>
      </x:c>
    </x:row>
    <x:row r="169">
      <x:c r="A169" s="1" t="str">
        <x:v>P0196</x:v>
      </x:c>
      <x:c r="B169" s="6" t="n">
        <x:v>46167.31319444445</x:v>
      </x:c>
      <x:c r="C169" s="1" t="str">
        <x:v>C047</x:v>
      </x:c>
      <x:c r="D169" s="1" t="str">
        <x:v>Distribuidora El Faro</x:v>
      </x:c>
      <x:c r="E169" s="1" t="str">
        <x:v>La Masica</x:v>
      </x:c>
      <x:c r="F169" s="7" t="n">
        <x:v>15.62139902522154</x:v>
      </x:c>
      <x:c r="G169" s="7" t="n">
        <x:v>-86.69038794424819</x:v>
      </x:c>
      <x:c r="H169" s="1" t="str">
        <x:v>R004</x:v>
      </x:c>
      <x:c r="I169" s="1" t="str">
        <x:v>Daniela Cruz</x:v>
      </x:c>
      <x:c r="J169" s="1" t="str">
        <x:v>V004</x:v>
      </x:c>
      <x:c r="K169" s="1" t="str">
        <x:v>Pickup con carrocería</x:v>
      </x:c>
      <x:c r="L169" s="1" t="str">
        <x:v>RT-20260525-R004</x:v>
      </x:c>
      <x:c r="M169" s="1" t="str">
        <x:v>07:20</x:v>
      </x:c>
      <x:c r="N169" s="1" t="str">
        <x:v>07:31</x:v>
      </x:c>
      <x:c r="O169" s="1" t="n">
        <x:v>11</x:v>
      </x:c>
      <x:c r="P169" s="5" t="n">
        <x:f>ROUND(X169+Y169,2)</x:f>
        <x:v>87.62</x:v>
      </x:c>
      <x:c r="Q169" s="5" t="n">
        <x:f>ROUND(P169/Vehiculos!$E$5*Vehiculos!$F$5,2)</x:f>
        <x:v>318.15</x:v>
      </x:c>
      <x:c r="R169" s="1" t="str">
        <x:v>Entregado</x:v>
      </x:c>
      <x:c r="S169" s="1" t="str">
        <x:v>Media</x:v>
      </x:c>
      <x:c r="T169" s="1" t="n">
        <x:v>1</x:v>
      </x:c>
      <x:c r="U169" s="1" t="n">
        <x:v>1</x:v>
      </x:c>
      <x:c r="V169" s="5" t="n">
        <x:v>4929.22</x:v>
      </x:c>
      <x:c r="W169" s="1" t="str">
        <x:v>08:50</x:v>
      </x:c>
      <x:c r="X169" s="1" t="n">
        <x:v>5.22</x:v>
      </x:c>
      <x:c r="Y169" s="1" t="n">
        <x:f>Parametros_Operacion!$B$7*2</x:f>
        <x:v>82.4</x:v>
      </x:c>
    </x:row>
    <x:row r="170">
      <x:c r="A170" s="1" t="str">
        <x:v>P0142</x:v>
      </x:c>
      <x:c r="B170" s="6" t="n">
        <x:v>46167.34722222222</x:v>
      </x:c>
      <x:c r="C170" s="1" t="str">
        <x:v>C045</x:v>
      </x:c>
      <x:c r="D170" s="1" t="str">
        <x:v>Mini Market San José</x:v>
      </x:c>
      <x:c r="E170" s="1" t="str">
        <x:v>Esparta</x:v>
      </x:c>
      <x:c r="F170" s="7" t="n">
        <x:v>15.63866963202749</x:v>
      </x:c>
      <x:c r="G170" s="7" t="n">
        <x:v>-87.28674513285189</x:v>
      </x:c>
      <x:c r="H170" s="1" t="str">
        <x:v>R007</x:v>
      </x:c>
      <x:c r="I170" s="1" t="str">
        <x:v>María Hernández</x:v>
      </x:c>
      <x:c r="J170" s="1" t="str">
        <x:v>V007</x:v>
      </x:c>
      <x:c r="K170" s="1" t="str">
        <x:v>Pickup con carrocería</x:v>
      </x:c>
      <x:c r="L170" s="1" t="str">
        <x:v>RT-20260525-R007</x:v>
      </x:c>
      <x:c r="M170" s="1" t="str">
        <x:v>08:08</x:v>
      </x:c>
      <x:c r="N170" s="1" t="str">
        <x:v>08:20</x:v>
      </x:c>
      <x:c r="O170" s="1" t="n">
        <x:v>12</x:v>
      </x:c>
      <x:c r="P170" s="5" t="n">
        <x:f>ROUND(X170+Y170,2)</x:f>
        <x:v>78.79</x:v>
      </x:c>
      <x:c r="Q170" s="5" t="n">
        <x:f>ROUND(P170/Vehiculos!$E$8*Vehiculos!$F$8,2)</x:f>
        <x:v>300.39</x:v>
      </x:c>
      <x:c r="R170" s="1" t="str">
        <x:v>Entregado</x:v>
      </x:c>
      <x:c r="S170" s="1" t="str">
        <x:v>Media</x:v>
      </x:c>
      <x:c r="T170" s="1" t="n">
        <x:v>1</x:v>
      </x:c>
      <x:c r="U170" s="1" t="n">
        <x:v>1</x:v>
      </x:c>
      <x:c r="V170" s="5" t="n">
        <x:v>3955.98</x:v>
      </x:c>
      <x:c r="W170" s="1" t="str">
        <x:v>08:50</x:v>
      </x:c>
      <x:c r="X170" s="1" t="n">
        <x:v>3.29</x:v>
      </x:c>
      <x:c r="Y170" s="1" t="n">
        <x:f>Parametros_Operacion!$B$4*1</x:f>
        <x:v>75.5</x:v>
      </x:c>
    </x:row>
    <x:row r="171">
      <x:c r="A171" s="1" t="str">
        <x:v>P0186</x:v>
      </x:c>
      <x:c r="B171" s="6" t="n">
        <x:v>46167.35486111111</x:v>
      </x:c>
      <x:c r="C171" s="1" t="str">
        <x:v>C028</x:v>
      </x:c>
      <x:c r="D171" s="1" t="str">
        <x:v>Pulpería El Buen Vecino</x:v>
      </x:c>
      <x:c r="E171" s="1" t="str">
        <x:v>Esparta</x:v>
      </x:c>
      <x:c r="F171" s="7" t="n">
        <x:v>15.64639811449093</x:v>
      </x:c>
      <x:c r="G171" s="7" t="n">
        <x:v>-87.26933914683686</x:v>
      </x:c>
      <x:c r="H171" s="1" t="str">
        <x:v>R007</x:v>
      </x:c>
      <x:c r="I171" s="1" t="str">
        <x:v>María Hernández</x:v>
      </x:c>
      <x:c r="J171" s="1" t="str">
        <x:v>V007</x:v>
      </x:c>
      <x:c r="K171" s="1" t="str">
        <x:v>Pickup con carrocería</x:v>
      </x:c>
      <x:c r="L171" s="1" t="str">
        <x:v>RT-20260525-R007</x:v>
      </x:c>
      <x:c r="M171" s="1" t="str">
        <x:v>08:20</x:v>
      </x:c>
      <x:c r="N171" s="1" t="str">
        <x:v>08:31</x:v>
      </x:c>
      <x:c r="O171" s="1" t="n">
        <x:v>11</x:v>
      </x:c>
      <x:c r="P171" s="5" t="n">
        <x:f>ROUND(X171+Y171,2)</x:f>
        <x:v>2.57</x:v>
      </x:c>
      <x:c r="Q171" s="5" t="n">
        <x:f>ROUND(P171/Vehiculos!$E$8*Vehiculos!$F$8,2)</x:f>
        <x:v>9.8</x:v>
      </x:c>
      <x:c r="R171" s="1" t="str">
        <x:v>Entregado</x:v>
      </x:c>
      <x:c r="S171" s="1" t="str">
        <x:v>Media</x:v>
      </x:c>
      <x:c r="T171" s="1" t="n">
        <x:v>2</x:v>
      </x:c>
      <x:c r="U171" s="1" t="n">
        <x:v>3</x:v>
      </x:c>
      <x:c r="V171" s="5" t="n">
        <x:v>1565.75</x:v>
      </x:c>
      <x:c r="W171" s="1" t="str">
        <x:v>08:50</x:v>
      </x:c>
      <x:c r="X171" s="1" t="n">
        <x:v>2.57</x:v>
      </x:c>
      <x:c r="Y171" s="1" t="n">
        <x:f>Parametros_Operacion!$B$4*0</x:f>
        <x:v>0</x:v>
      </x:c>
    </x:row>
    <x:row r="172">
      <x:c r="A172" s="1" t="str">
        <x:v>P0199</x:v>
      </x:c>
      <x:c r="B172" s="6" t="n">
        <x:v>46167.3625</x:v>
      </x:c>
      <x:c r="C172" s="1" t="str">
        <x:v>C032</x:v>
      </x:c>
      <x:c r="D172" s="1" t="str">
        <x:v>Mini Súper Atlántida</x:v>
      </x:c>
      <x:c r="E172" s="1" t="str">
        <x:v>Esparta</x:v>
      </x:c>
      <x:c r="F172" s="7" t="n">
        <x:v>15.6324518057495</x:v>
      </x:c>
      <x:c r="G172" s="7" t="n">
        <x:v>-87.2624583084211</x:v>
      </x:c>
      <x:c r="H172" s="1" t="str">
        <x:v>R007</x:v>
      </x:c>
      <x:c r="I172" s="1" t="str">
        <x:v>María Hernández</x:v>
      </x:c>
      <x:c r="J172" s="1" t="str">
        <x:v>V007</x:v>
      </x:c>
      <x:c r="K172" s="1" t="str">
        <x:v>Pickup con carrocería</x:v>
      </x:c>
      <x:c r="L172" s="1" t="str">
        <x:v>RT-20260525-R007</x:v>
      </x:c>
      <x:c r="M172" s="1" t="str">
        <x:v>08:31</x:v>
      </x:c>
      <x:c r="N172" s="1" t="str">
        <x:v>08:42</x:v>
      </x:c>
      <x:c r="O172" s="1" t="n">
        <x:v>11</x:v>
      </x:c>
      <x:c r="P172" s="5" t="n">
        <x:f>ROUND(X172+Y172,2)</x:f>
        <x:v>80.83</x:v>
      </x:c>
      <x:c r="Q172" s="5" t="n">
        <x:f>ROUND(P172/Vehiculos!$E$8*Vehiculos!$F$8,2)</x:f>
        <x:v>308.17</x:v>
      </x:c>
      <x:c r="R172" s="1" t="str">
        <x:v>Entregado</x:v>
      </x:c>
      <x:c r="S172" s="1" t="str">
        <x:v>Media</x:v>
      </x:c>
      <x:c r="T172" s="1" t="n">
        <x:v>3</x:v>
      </x:c>
      <x:c r="U172" s="1" t="n">
        <x:v>2</x:v>
      </x:c>
      <x:c r="V172" s="5" t="n">
        <x:v>4394.25</x:v>
      </x:c>
      <x:c r="W172" s="1" t="str">
        <x:v>08:50</x:v>
      </x:c>
      <x:c r="X172" s="1" t="n">
        <x:v>5.33</x:v>
      </x:c>
      <x:c r="Y172" s="1" t="n">
        <x:f>Parametros_Operacion!$B$4*1</x:f>
        <x:v>75.5</x:v>
      </x:c>
    </x:row>
    <x:row r="173">
      <x:c r="A173" s="1" t="str">
        <x:v>P0198</x:v>
      </x:c>
      <x:c r="B173" s="6" t="n">
        <x:v>46167.36875</x:v>
      </x:c>
      <x:c r="C173" s="1" t="str">
        <x:v>C013</x:v>
      </x:c>
      <x:c r="D173" s="1" t="str">
        <x:v>Mercadito Doña Marta</x:v>
      </x:c>
      <x:c r="E173" s="1" t="str">
        <x:v>Tela</x:v>
      </x:c>
      <x:c r="F173" s="7" t="n">
        <x:v>15.75505922402737</x:v>
      </x:c>
      <x:c r="G173" s="7" t="n">
        <x:v>-87.47373987089004</x:v>
      </x:c>
      <x:c r="H173" s="1" t="str">
        <x:v>R002</x:v>
      </x:c>
      <x:c r="I173" s="1" t="str">
        <x:v>Ana López</x:v>
      </x:c>
      <x:c r="J173" s="1" t="str">
        <x:v>V002</x:v>
      </x:c>
      <x:c r="K173" s="1" t="str">
        <x:v>Pickup con carrocería</x:v>
      </x:c>
      <x:c r="L173" s="1" t="str">
        <x:v>RT-20260525-R002</x:v>
      </x:c>
      <x:c r="M173" s="1" t="str">
        <x:v>08:38</x:v>
      </x:c>
      <x:c r="N173" s="1" t="str">
        <x:v>08:51</x:v>
      </x:c>
      <x:c r="O173" s="1" t="n">
        <x:v>13</x:v>
      </x:c>
      <x:c r="P173" s="5" t="n">
        <x:f>ROUND(X173+Y173,2)</x:f>
        <x:v>212.94</x:v>
      </x:c>
      <x:c r="Q173" s="5" t="n">
        <x:f>ROUND(P173/Vehiculos!$E$3*Vehiculos!$F$3,2)</x:f>
        <x:v>773.18</x:v>
      </x:c>
      <x:c r="R173" s="1" t="str">
        <x:v>Retrasado</x:v>
      </x:c>
      <x:c r="S173" s="1" t="str">
        <x:v>Media</x:v>
      </x:c>
      <x:c r="T173" s="1" t="n">
        <x:v>1</x:v>
      </x:c>
      <x:c r="U173" s="1" t="n">
        <x:v>1</x:v>
      </x:c>
      <x:c r="V173" s="5" t="n">
        <x:v>7417.49</x:v>
      </x:c>
      <x:c r="W173" s="1" t="str">
        <x:v>08:50</x:v>
      </x:c>
      <x:c r="X173" s="1" t="n">
        <x:v>8.34</x:v>
      </x:c>
      <x:c r="Y173" s="1" t="n">
        <x:f>Parametros_Operacion!$B$9*2</x:f>
        <x:v>204.6</x:v>
      </x:c>
    </x:row>
    <x:row r="174">
      <x:c r="A174" s="1" t="str">
        <x:v>P0202</x:v>
      </x:c>
      <x:c r="B174" s="6" t="n">
        <x:v>46168.28055555555</x:v>
      </x:c>
      <x:c r="C174" s="1" t="str">
        <x:v>C019</x:v>
      </x:c>
      <x:c r="D174" s="1" t="str">
        <x:v>Pulpería El Centroamericano</x:v>
      </x:c>
      <x:c r="E174" s="1" t="str">
        <x:v>La Ceiba</x:v>
      </x:c>
      <x:c r="F174" s="7" t="n">
        <x:v>15.7980269607938</x:v>
      </x:c>
      <x:c r="G174" s="7" t="n">
        <x:v>-86.77402528336896</x:v>
      </x:c>
      <x:c r="H174" s="1" t="str">
        <x:v>R001</x:v>
      </x:c>
      <x:c r="I174" s="1" t="str">
        <x:v>Carlos Mejía</x:v>
      </x:c>
      <x:c r="J174" s="1" t="str">
        <x:v>V001</x:v>
      </x:c>
      <x:c r="K174" s="1" t="str">
        <x:v>Pickup con carrocería</x:v>
      </x:c>
      <x:c r="L174" s="1" t="str">
        <x:v>RT-20260526-R001</x:v>
      </x:c>
      <x:c r="M174" s="1" t="str">
        <x:v>06:30</x:v>
      </x:c>
      <x:c r="N174" s="1" t="str">
        <x:v>06:44</x:v>
      </x:c>
      <x:c r="O174" s="1" t="n">
        <x:v>14</x:v>
      </x:c>
      <x:c r="P174" s="5" t="n">
        <x:f>ROUND(X174+Y174,2)</x:f>
        <x:v>5.31</x:v>
      </x:c>
      <x:c r="Q174" s="5" t="n">
        <x:f>ROUND(P174/Vehiculos!$E$2*Vehiculos!$F$2,2)</x:f>
        <x:v>18.4</x:v>
      </x:c>
      <x:c r="R174" s="1" t="str">
        <x:v>Entregado</x:v>
      </x:c>
      <x:c r="S174" s="1" t="str">
        <x:v>Media</x:v>
      </x:c>
      <x:c r="T174" s="1" t="n">
        <x:v>1</x:v>
      </x:c>
      <x:c r="U174" s="1" t="n">
        <x:v>2</x:v>
      </x:c>
      <x:c r="V174" s="5" t="n">
        <x:v>4663.88</x:v>
      </x:c>
      <x:c r="W174" s="1" t="str">
        <x:v>08:50</x:v>
      </x:c>
      <x:c r="X174" s="1" t="n">
        <x:v>5.31</x:v>
      </x:c>
      <x:c r="Y174" s="1" t="n">
        <x:f>Parametros_Operacion!$B$6*0</x:f>
        <x:v>0</x:v>
      </x:c>
    </x:row>
    <x:row r="175">
      <x:c r="A175" s="1" t="str">
        <x:v>P0203</x:v>
      </x:c>
      <x:c r="B175" s="6" t="n">
        <x:v>46168.29305555556</x:v>
      </x:c>
      <x:c r="C175" s="1" t="str">
        <x:v>C043</x:v>
      </x:c>
      <x:c r="D175" s="1" t="str">
        <x:v>Supermercado Rafael</x:v>
      </x:c>
      <x:c r="E175" s="1" t="str">
        <x:v>La Ceiba</x:v>
      </x:c>
      <x:c r="F175" s="7" t="n">
        <x:v>15.74117500406553</x:v>
      </x:c>
      <x:c r="G175" s="7" t="n">
        <x:v>-86.76923431354687</x:v>
      </x:c>
      <x:c r="H175" s="1" t="str">
        <x:v>R001</x:v>
      </x:c>
      <x:c r="I175" s="1" t="str">
        <x:v>Carlos Mejía</x:v>
      </x:c>
      <x:c r="J175" s="1" t="str">
        <x:v>V001</x:v>
      </x:c>
      <x:c r="K175" s="1" t="str">
        <x:v>Pickup con carrocería</x:v>
      </x:c>
      <x:c r="L175" s="1" t="str">
        <x:v>RT-20260526-R001</x:v>
      </x:c>
      <x:c r="M175" s="1" t="str">
        <x:v>06:44</x:v>
      </x:c>
      <x:c r="N175" s="1" t="str">
        <x:v>07:02</x:v>
      </x:c>
      <x:c r="O175" s="1" t="n">
        <x:v>18</x:v>
      </x:c>
      <x:c r="P175" s="5" t="n">
        <x:f>ROUND(X175+Y175,2)</x:f>
        <x:v>7.93</x:v>
      </x:c>
      <x:c r="Q175" s="5" t="n">
        <x:f>ROUND(P175/Vehiculos!$E$2*Vehiculos!$F$2,2)</x:f>
        <x:v>27.48</x:v>
      </x:c>
      <x:c r="R175" s="1" t="str">
        <x:v>Entregado</x:v>
      </x:c>
      <x:c r="S175" s="1" t="str">
        <x:v>Media</x:v>
      </x:c>
      <x:c r="T175" s="1" t="n">
        <x:v>2</x:v>
      </x:c>
      <x:c r="U175" s="1" t="n">
        <x:v>1</x:v>
      </x:c>
      <x:c r="V175" s="5" t="n">
        <x:v>4208.64</x:v>
      </x:c>
      <x:c r="W175" s="1" t="str">
        <x:v>08:50</x:v>
      </x:c>
      <x:c r="X175" s="1" t="n">
        <x:v>7.93</x:v>
      </x:c>
      <x:c r="Y175" s="1" t="n">
        <x:f>Parametros_Operacion!$B$6*0</x:f>
        <x:v>0</x:v>
      </x:c>
    </x:row>
    <x:row r="176">
      <x:c r="A176" s="1" t="str">
        <x:v>P0171</x:v>
      </x:c>
      <x:c r="B176" s="6" t="n">
        <x:v>46168.29583333333</x:v>
      </x:c>
      <x:c r="C176" s="1" t="str">
        <x:v>C033</x:v>
      </x:c>
      <x:c r="D176" s="1" t="str">
        <x:v>Mercadito Doña Marta</x:v>
      </x:c>
      <x:c r="E176" s="1" t="str">
        <x:v>El Porvenir</x:v>
      </x:c>
      <x:c r="F176" s="7" t="n">
        <x:v>15.75836021366635</x:v>
      </x:c>
      <x:c r="G176" s="7" t="n">
        <x:v>-86.89260303911311</x:v>
      </x:c>
      <x:c r="H176" s="1" t="str">
        <x:v>R008</x:v>
      </x:c>
      <x:c r="I176" s="1" t="str">
        <x:v>Jorge Castro</x:v>
      </x:c>
      <x:c r="J176" s="1" t="str">
        <x:v>V008</x:v>
      </x:c>
      <x:c r="K176" s="1" t="str">
        <x:v>Camión pequeño</x:v>
      </x:c>
      <x:c r="L176" s="1" t="str">
        <x:v>RT-20260526-R008</x:v>
      </x:c>
      <x:c r="M176" s="1" t="str">
        <x:v>06:54</x:v>
      </x:c>
      <x:c r="N176" s="1" t="str">
        <x:v>07:06</x:v>
      </x:c>
      <x:c r="O176" s="1" t="n">
        <x:v>12</x:v>
      </x:c>
      <x:c r="P176" s="5" t="n">
        <x:f>ROUND(X176+Y176,2)</x:f>
        <x:v>38.8</x:v>
      </x:c>
      <x:c r="Q176" s="5" t="n">
        <x:f>ROUND(P176/Vehiculos!$E$9*Vehiculos!$F$9,2)</x:f>
        <x:v>197.23</x:v>
      </x:c>
      <x:c r="R176" s="1" t="str">
        <x:v>Entregado</x:v>
      </x:c>
      <x:c r="S176" s="1" t="str">
        <x:v>Media</x:v>
      </x:c>
      <x:c r="T176" s="1" t="n">
        <x:v>1</x:v>
      </x:c>
      <x:c r="U176" s="1" t="n">
        <x:v>1</x:v>
      </x:c>
      <x:c r="V176" s="5" t="n">
        <x:v>6233.73</x:v>
      </x:c>
      <x:c r="W176" s="1" t="str">
        <x:v>08:50</x:v>
      </x:c>
      <x:c r="X176" s="1" t="n">
        <x:v>5.8</x:v>
      </x:c>
      <x:c r="Y176" s="1" t="n">
        <x:f>Parametros_Operacion!$B$3*2</x:f>
        <x:v>33</x:v>
      </x:c>
    </x:row>
    <x:row r="177">
      <x:c r="A177" s="1" t="str">
        <x:v>P0062</x:v>
      </x:c>
      <x:c r="B177" s="6" t="n">
        <x:v>46168.30486111111</x:v>
      </x:c>
      <x:c r="C177" s="1" t="str">
        <x:v>C041</x:v>
      </x:c>
      <x:c r="D177" s="1" t="str">
        <x:v>Pulpería Oseguera</x:v>
      </x:c>
      <x:c r="E177" s="1" t="str">
        <x:v>La Ceiba</x:v>
      </x:c>
      <x:c r="F177" s="7" t="n">
        <x:v>15.77279131084483</x:v>
      </x:c>
      <x:c r="G177" s="7" t="n">
        <x:v>-86.81479599652472</x:v>
      </x:c>
      <x:c r="H177" s="1" t="str">
        <x:v>R001</x:v>
      </x:c>
      <x:c r="I177" s="1" t="str">
        <x:v>Carlos Mejía</x:v>
      </x:c>
      <x:c r="J177" s="1" t="str">
        <x:v>V001</x:v>
      </x:c>
      <x:c r="K177" s="1" t="str">
        <x:v>Pickup con carrocería</x:v>
      </x:c>
      <x:c r="L177" s="1" t="str">
        <x:v>RT-20260526-R001</x:v>
      </x:c>
      <x:c r="M177" s="1" t="str">
        <x:v>07:02</x:v>
      </x:c>
      <x:c r="N177" s="1" t="str">
        <x:v>07:19</x:v>
      </x:c>
      <x:c r="O177" s="1" t="n">
        <x:v>17</x:v>
      </x:c>
      <x:c r="P177" s="5" t="n">
        <x:f>ROUND(X177+Y177,2)</x:f>
        <x:v>10.01</x:v>
      </x:c>
      <x:c r="Q177" s="5" t="n">
        <x:f>ROUND(P177/Vehiculos!$E$2*Vehiculos!$F$2,2)</x:f>
        <x:v>34.69</x:v>
      </x:c>
      <x:c r="R177" s="1" t="str">
        <x:v>Entregado</x:v>
      </x:c>
      <x:c r="S177" s="1" t="str">
        <x:v>Alta</x:v>
      </x:c>
      <x:c r="T177" s="1" t="n">
        <x:v>3</x:v>
      </x:c>
      <x:c r="U177" s="1" t="n">
        <x:v>3</x:v>
      </x:c>
      <x:c r="V177" s="5" t="n">
        <x:v>1953.8</x:v>
      </x:c>
      <x:c r="W177" s="1" t="str">
        <x:v>08:20</x:v>
      </x:c>
      <x:c r="X177" s="1" t="n">
        <x:v>10.01</x:v>
      </x:c>
      <x:c r="Y177" s="1" t="n">
        <x:f>Parametros_Operacion!$B$6*0</x:f>
        <x:v>0</x:v>
      </x:c>
    </x:row>
    <x:row r="178">
      <x:c r="A178" s="1" t="str">
        <x:v>P0204</x:v>
      </x:c>
      <x:c r="B178" s="6" t="n">
        <x:v>46168.30902777778</x:v>
      </x:c>
      <x:c r="C178" s="1" t="str">
        <x:v>C006</x:v>
      </x:c>
      <x:c r="D178" s="1" t="str">
        <x:v>Abarrotería El Centro</x:v>
      </x:c>
      <x:c r="E178" s="1" t="str">
        <x:v>Jutiapa</x:v>
      </x:c>
      <x:c r="F178" s="7" t="n">
        <x:v>15.69621823719406</x:v>
      </x:c>
      <x:c r="G178" s="7" t="n">
        <x:v>-86.1982096577805</x:v>
      </x:c>
      <x:c r="H178" s="1" t="str">
        <x:v>R003</x:v>
      </x:c>
      <x:c r="I178" s="1" t="str">
        <x:v>Luis Ramírez</x:v>
      </x:c>
      <x:c r="J178" s="1" t="str">
        <x:v>V003</x:v>
      </x:c>
      <x:c r="K178" s="1" t="str">
        <x:v>Pickup con carrocería</x:v>
      </x:c>
      <x:c r="L178" s="1" t="str">
        <x:v>RT-20260526-R003</x:v>
      </x:c>
      <x:c r="M178" s="1" t="str">
        <x:v>07:10</x:v>
      </x:c>
      <x:c r="N178" s="1" t="str">
        <x:v>07:25</x:v>
      </x:c>
      <x:c r="O178" s="1" t="n">
        <x:v>15</x:v>
      </x:c>
      <x:c r="P178" s="5" t="n">
        <x:f>ROUND(X178+Y178,2)</x:f>
        <x:v>74.54</x:v>
      </x:c>
      <x:c r="Q178" s="5" t="n">
        <x:f>ROUND(P178/Vehiculos!$E$4*Vehiculos!$F$4,2)</x:f>
        <x:v>284.19</x:v>
      </x:c>
      <x:c r="R178" s="1" t="str">
        <x:v>Entregado</x:v>
      </x:c>
      <x:c r="S178" s="1" t="str">
        <x:v>Media</x:v>
      </x:c>
      <x:c r="T178" s="1" t="n">
        <x:v>1</x:v>
      </x:c>
      <x:c r="U178" s="1" t="n">
        <x:v>1</x:v>
      </x:c>
      <x:c r="V178" s="5" t="n">
        <x:v>3109.95</x:v>
      </x:c>
      <x:c r="W178" s="1" t="str">
        <x:v>08:50</x:v>
      </x:c>
      <x:c r="X178" s="1" t="n">
        <x:v>11.74</x:v>
      </x:c>
      <x:c r="Y178" s="1" t="n">
        <x:f>Parametros_Operacion!$B$5*2</x:f>
        <x:v>62.8</x:v>
      </x:c>
    </x:row>
    <x:row r="179">
      <x:c r="A179" s="1" t="str">
        <x:v>P0184</x:v>
      </x:c>
      <x:c r="B179" s="6" t="n">
        <x:v>46168.3125</x:v>
      </x:c>
      <x:c r="C179" s="1" t="str">
        <x:v>C042</x:v>
      </x:c>
      <x:c r="D179" s="1" t="str">
        <x:v>Mini Súper La Bendición</x:v>
      </x:c>
      <x:c r="E179" s="1" t="str">
        <x:v>San Francisco</x:v>
      </x:c>
      <x:c r="F179" s="7" t="n">
        <x:v>15.64942224496931</x:v>
      </x:c>
      <x:c r="G179" s="7" t="n">
        <x:v>-86.98247971654797</x:v>
      </x:c>
      <x:c r="H179" s="1" t="str">
        <x:v>R005</x:v>
      </x:c>
      <x:c r="I179" s="1" t="str">
        <x:v>José Martínez</x:v>
      </x:c>
      <x:c r="J179" s="1" t="str">
        <x:v>V005</x:v>
      </x:c>
      <x:c r="K179" s="1" t="str">
        <x:v>Camión pequeño</x:v>
      </x:c>
      <x:c r="L179" s="1" t="str">
        <x:v>RT-20260526-R005</x:v>
      </x:c>
      <x:c r="M179" s="1" t="str">
        <x:v>07:19</x:v>
      </x:c>
      <x:c r="N179" s="1" t="str">
        <x:v>07:30</x:v>
      </x:c>
      <x:c r="O179" s="1" t="n">
        <x:v>11</x:v>
      </x:c>
      <x:c r="P179" s="5" t="n">
        <x:f>ROUND(X179+Y179,2)</x:f>
        <x:v>73.78</x:v>
      </x:c>
      <x:c r="Q179" s="5" t="n">
        <x:f>ROUND(P179/Vehiculos!$E$6*Vehiculos!$F$6,2)</x:f>
        <x:v>351.61</x:v>
      </x:c>
      <x:c r="R179" s="1" t="str">
        <x:v>Entregado</x:v>
      </x:c>
      <x:c r="S179" s="1" t="str">
        <x:v>Media</x:v>
      </x:c>
      <x:c r="T179" s="1" t="n">
        <x:v>1</x:v>
      </x:c>
      <x:c r="U179" s="1" t="n">
        <x:v>1</x:v>
      </x:c>
      <x:c r="V179" s="5" t="n">
        <x:v>1892.77</x:v>
      </x:c>
      <x:c r="W179" s="1" t="str">
        <x:v>08:50</x:v>
      </x:c>
      <x:c r="X179" s="1" t="n">
        <x:v>3.78</x:v>
      </x:c>
      <x:c r="Y179" s="1" t="n">
        <x:f>Parametros_Operacion!$B$8*2</x:f>
        <x:v>70</x:v>
      </x:c>
    </x:row>
    <x:row r="180">
      <x:c r="A180" s="1" t="str">
        <x:v>P0122</x:v>
      </x:c>
      <x:c r="B180" s="6" t="n">
        <x:v>46168.31527777778</x:v>
      </x:c>
      <x:c r="C180" s="1" t="str">
        <x:v>C004</x:v>
      </x:c>
      <x:c r="D180" s="1" t="str">
        <x:v>Comercial Rivera</x:v>
      </x:c>
      <x:c r="E180" s="1" t="str">
        <x:v>La Masica</x:v>
      </x:c>
      <x:c r="F180" s="7" t="n">
        <x:v>15.60892338902915</x:v>
      </x:c>
      <x:c r="G180" s="7" t="n">
        <x:v>-86.73871508090915</x:v>
      </x:c>
      <x:c r="H180" s="1" t="str">
        <x:v>R004</x:v>
      </x:c>
      <x:c r="I180" s="1" t="str">
        <x:v>Daniela Cruz</x:v>
      </x:c>
      <x:c r="J180" s="1" t="str">
        <x:v>V004</x:v>
      </x:c>
      <x:c r="K180" s="1" t="str">
        <x:v>Pickup con carrocería</x:v>
      </x:c>
      <x:c r="L180" s="1" t="str">
        <x:v>RT-20260526-R004</x:v>
      </x:c>
      <x:c r="M180" s="1" t="str">
        <x:v>07:20</x:v>
      </x:c>
      <x:c r="N180" s="1" t="str">
        <x:v>07:34</x:v>
      </x:c>
      <x:c r="O180" s="1" t="n">
        <x:v>14</x:v>
      </x:c>
      <x:c r="P180" s="5" t="n">
        <x:f>ROUND(X180+Y180,2)</x:f>
        <x:v>91.56</x:v>
      </x:c>
      <x:c r="Q180" s="5" t="n">
        <x:f>ROUND(P180/Vehiculos!$E$5*Vehiculos!$F$5,2)</x:f>
        <x:v>332.45</x:v>
      </x:c>
      <x:c r="R180" s="1" t="str">
        <x:v>Entregado</x:v>
      </x:c>
      <x:c r="S180" s="1" t="str">
        <x:v>Media</x:v>
      </x:c>
      <x:c r="T180" s="1" t="n">
        <x:v>1</x:v>
      </x:c>
      <x:c r="U180" s="1" t="n">
        <x:v>1</x:v>
      </x:c>
      <x:c r="V180" s="5" t="n">
        <x:v>3346.25</x:v>
      </x:c>
      <x:c r="W180" s="1" t="str">
        <x:v>08:50</x:v>
      </x:c>
      <x:c r="X180" s="1" t="n">
        <x:v>9.16</x:v>
      </x:c>
      <x:c r="Y180" s="1" t="n">
        <x:f>Parametros_Operacion!$B$7*2</x:f>
        <x:v>82.4</x:v>
      </x:c>
    </x:row>
    <x:row r="181">
      <x:c r="A181" s="1" t="str">
        <x:v>P0188</x:v>
      </x:c>
      <x:c r="B181" s="6" t="n">
        <x:v>46168.34375</x:v>
      </x:c>
      <x:c r="C181" s="1" t="str">
        <x:v>C040</x:v>
      </x:c>
      <x:c r="D181" s="1" t="str">
        <x:v>Mercadito La Familia</x:v>
      </x:c>
      <x:c r="E181" s="1" t="str">
        <x:v>Arizona</x:v>
      </x:c>
      <x:c r="F181" s="7" t="n">
        <x:v>15.60480443071797</x:v>
      </x:c>
      <x:c r="G181" s="7" t="n">
        <x:v>-87.339316667913</x:v>
      </x:c>
      <x:c r="H181" s="1" t="str">
        <x:v>R006</x:v>
      </x:c>
      <x:c r="I181" s="1" t="str">
        <x:v>Kevin Flores</x:v>
      </x:c>
      <x:c r="J181" s="1" t="str">
        <x:v>V006</x:v>
      </x:c>
      <x:c r="K181" s="1" t="str">
        <x:v>Pickup con carrocería</x:v>
      </x:c>
      <x:c r="L181" s="1" t="str">
        <x:v>RT-20260526-R006</x:v>
      </x:c>
      <x:c r="M181" s="1" t="str">
        <x:v>08:03</x:v>
      </x:c>
      <x:c r="N181" s="1" t="str">
        <x:v>08:15</x:v>
      </x:c>
      <x:c r="O181" s="1" t="n">
        <x:v>12</x:v>
      </x:c>
      <x:c r="P181" s="5" t="n">
        <x:f>ROUND(X181+Y181,2)</x:f>
        <x:v>151.3</x:v>
      </x:c>
      <x:c r="Q181" s="5" t="n">
        <x:f>ROUND(P181/Vehiculos!$E$7*Vehiculos!$F$7,2)</x:f>
        <x:v>576.84</x:v>
      </x:c>
      <x:c r="R181" s="1" t="str">
        <x:v>Entregado</x:v>
      </x:c>
      <x:c r="S181" s="1" t="str">
        <x:v>Media</x:v>
      </x:c>
      <x:c r="T181" s="1" t="n">
        <x:v>1</x:v>
      </x:c>
      <x:c r="U181" s="1" t="n">
        <x:v>1</x:v>
      </x:c>
      <x:c r="V181" s="5" t="n">
        <x:v>4521.8</x:v>
      </x:c>
      <x:c r="W181" s="1" t="str">
        <x:v>08:50</x:v>
      </x:c>
      <x:c r="X181" s="1" t="n">
        <x:v>6.3</x:v>
      </x:c>
      <x:c r="Y181" s="1" t="n">
        <x:f>Parametros_Operacion!$B$2*2</x:f>
        <x:v>145</x:v>
      </x:c>
    </x:row>
    <x:row r="182">
      <x:c r="A182" s="1" t="str">
        <x:v>P0191</x:v>
      </x:c>
      <x:c r="B182" s="6" t="n">
        <x:v>46168.347916666666</x:v>
      </x:c>
      <x:c r="C182" s="1" t="str">
        <x:v>C031</x:v>
      </x:c>
      <x:c r="D182" s="1" t="str">
        <x:v>Pulpería La Esperanza</x:v>
      </x:c>
      <x:c r="E182" s="1" t="str">
        <x:v>Esparta</x:v>
      </x:c>
      <x:c r="F182" s="7" t="n">
        <x:v>15.6329608041621</x:v>
      </x:c>
      <x:c r="G182" s="7" t="n">
        <x:v>-87.2835937878433</x:v>
      </x:c>
      <x:c r="H182" s="1" t="str">
        <x:v>R007</x:v>
      </x:c>
      <x:c r="I182" s="1" t="str">
        <x:v>María Hernández</x:v>
      </x:c>
      <x:c r="J182" s="1" t="str">
        <x:v>V007</x:v>
      </x:c>
      <x:c r="K182" s="1" t="str">
        <x:v>Pickup con carrocería</x:v>
      </x:c>
      <x:c r="L182" s="1" t="str">
        <x:v>RT-20260526-R007</x:v>
      </x:c>
      <x:c r="M182" s="1" t="str">
        <x:v>08:08</x:v>
      </x:c>
      <x:c r="N182" s="1" t="str">
        <x:v>08:21</x:v>
      </x:c>
      <x:c r="O182" s="1" t="n">
        <x:v>13</x:v>
      </x:c>
      <x:c r="P182" s="5" t="n">
        <x:f>ROUND(X182+Y182,2)</x:f>
        <x:v>79.12</x:v>
      </x:c>
      <x:c r="Q182" s="5" t="n">
        <x:f>ROUND(P182/Vehiculos!$E$8*Vehiculos!$F$8,2)</x:f>
        <x:v>301.65</x:v>
      </x:c>
      <x:c r="R182" s="1" t="str">
        <x:v>Entregado</x:v>
      </x:c>
      <x:c r="S182" s="1" t="str">
        <x:v>Media</x:v>
      </x:c>
      <x:c r="T182" s="1" t="n">
        <x:v>1</x:v>
      </x:c>
      <x:c r="U182" s="1" t="n">
        <x:v>1</x:v>
      </x:c>
      <x:c r="V182" s="5" t="n">
        <x:v>3088.66</x:v>
      </x:c>
      <x:c r="W182" s="1" t="str">
        <x:v>08:50</x:v>
      </x:c>
      <x:c r="X182" s="1" t="n">
        <x:v>3.62</x:v>
      </x:c>
      <x:c r="Y182" s="1" t="n">
        <x:f>Parametros_Operacion!$B$4*1</x:f>
        <x:v>75.5</x:v>
      </x:c>
    </x:row>
    <x:row r="183">
      <x:c r="A183" s="1" t="str">
        <x:v>P0192</x:v>
      </x:c>
      <x:c r="B183" s="6" t="n">
        <x:v>46168.35833333333</x:v>
      </x:c>
      <x:c r="C183" s="1" t="str">
        <x:v>C008</x:v>
      </x:c>
      <x:c r="D183" s="1" t="str">
        <x:v>Pulpería El Buen Vecino</x:v>
      </x:c>
      <x:c r="E183" s="1" t="str">
        <x:v>Esparta</x:v>
      </x:c>
      <x:c r="F183" s="7" t="n">
        <x:v>15.66265280736854</x:v>
      </x:c>
      <x:c r="G183" s="7" t="n">
        <x:v>-87.25434499998507</x:v>
      </x:c>
      <x:c r="H183" s="1" t="str">
        <x:v>R007</x:v>
      </x:c>
      <x:c r="I183" s="1" t="str">
        <x:v>María Hernández</x:v>
      </x:c>
      <x:c r="J183" s="1" t="str">
        <x:v>V007</x:v>
      </x:c>
      <x:c r="K183" s="1" t="str">
        <x:v>Pickup con carrocería</x:v>
      </x:c>
      <x:c r="L183" s="1" t="str">
        <x:v>RT-20260526-R007</x:v>
      </x:c>
      <x:c r="M183" s="1" t="str">
        <x:v>08:21</x:v>
      </x:c>
      <x:c r="N183" s="1" t="str">
        <x:v>08:36</x:v>
      </x:c>
      <x:c r="O183" s="1" t="n">
        <x:v>15</x:v>
      </x:c>
      <x:c r="P183" s="5" t="n">
        <x:f>ROUND(X183+Y183,2)</x:f>
        <x:v>83.4</x:v>
      </x:c>
      <x:c r="Q183" s="5" t="n">
        <x:f>ROUND(P183/Vehiculos!$E$8*Vehiculos!$F$8,2)</x:f>
        <x:v>317.97</x:v>
      </x:c>
      <x:c r="R183" s="1" t="str">
        <x:v>Entregado</x:v>
      </x:c>
      <x:c r="S183" s="1" t="str">
        <x:v>Media</x:v>
      </x:c>
      <x:c r="T183" s="1" t="n">
        <x:v>2</x:v>
      </x:c>
      <x:c r="U183" s="1" t="n">
        <x:v>2</x:v>
      </x:c>
      <x:c r="V183" s="5" t="n">
        <x:v>6506.02</x:v>
      </x:c>
      <x:c r="W183" s="1" t="str">
        <x:v>08:50</x:v>
      </x:c>
      <x:c r="X183" s="1" t="n">
        <x:v>7.9</x:v>
      </x:c>
      <x:c r="Y183" s="1" t="n">
        <x:f>Parametros_Operacion!$B$4*1</x:f>
        <x:v>75.5</x:v>
      </x:c>
    </x:row>
    <x:row r="184">
      <x:c r="A184" s="1" t="str">
        <x:v>P0164</x:v>
      </x:c>
      <x:c r="B184" s="6" t="n">
        <x:v>46168.36944444444</x:v>
      </x:c>
      <x:c r="C184" s="1" t="str">
        <x:v>C046</x:v>
      </x:c>
      <x:c r="D184" s="1" t="str">
        <x:v>Abarrotería El Centro</x:v>
      </x:c>
      <x:c r="E184" s="1" t="str">
        <x:v>Tela</x:v>
      </x:c>
      <x:c r="F184" s="7" t="n">
        <x:v>15.75345936034755</x:v>
      </x:c>
      <x:c r="G184" s="7" t="n">
        <x:v>-87.43026035645514</x:v>
      </x:c>
      <x:c r="H184" s="1" t="str">
        <x:v>R002</x:v>
      </x:c>
      <x:c r="I184" s="1" t="str">
        <x:v>Ana López</x:v>
      </x:c>
      <x:c r="J184" s="1" t="str">
        <x:v>V002</x:v>
      </x:c>
      <x:c r="K184" s="1" t="str">
        <x:v>Pickup con carrocería</x:v>
      </x:c>
      <x:c r="L184" s="1" t="str">
        <x:v>RT-20260526-R002</x:v>
      </x:c>
      <x:c r="M184" s="1" t="str">
        <x:v>08:38</x:v>
      </x:c>
      <x:c r="N184" s="1" t="str">
        <x:v>08:52</x:v>
      </x:c>
      <x:c r="O184" s="1" t="n">
        <x:v>14</x:v>
      </x:c>
      <x:c r="P184" s="5" t="n">
        <x:f>ROUND(X184+Y184,2)</x:f>
        <x:v>213.9</x:v>
      </x:c>
      <x:c r="Q184" s="5" t="n">
        <x:f>ROUND(P184/Vehiculos!$E$3*Vehiculos!$F$3,2)</x:f>
        <x:v>776.67</x:v>
      </x:c>
      <x:c r="R184" s="1" t="str">
        <x:v>Retrasado</x:v>
      </x:c>
      <x:c r="S184" s="1" t="str">
        <x:v>Media</x:v>
      </x:c>
      <x:c r="T184" s="1" t="n">
        <x:v>1</x:v>
      </x:c>
      <x:c r="U184" s="1" t="n">
        <x:v>1</x:v>
      </x:c>
      <x:c r="V184" s="5" t="n">
        <x:v>7090.98</x:v>
      </x:c>
      <x:c r="W184" s="1" t="str">
        <x:v>08:50</x:v>
      </x:c>
      <x:c r="X184" s="1" t="n">
        <x:v>9.3</x:v>
      </x:c>
      <x:c r="Y184" s="1" t="n">
        <x:f>Parametros_Operacion!$B$9*2</x:f>
        <x:v>204.6</x:v>
      </x:c>
    </x:row>
    <x:row r="185">
      <x:c r="A185" s="1" t="str">
        <x:v>P0211</x:v>
      </x:c>
      <x:c r="B185" s="6" t="n">
        <x:v>46169.27847222222</x:v>
      </x:c>
      <x:c r="C185" s="1" t="str">
        <x:v>C027</x:v>
      </x:c>
      <x:c r="D185" s="1" t="str">
        <x:v>Distribuidora El Faro</x:v>
      </x:c>
      <x:c r="E185" s="1" t="str">
        <x:v>La Ceiba</x:v>
      </x:c>
      <x:c r="F185" s="7" t="n">
        <x:v>15.76803685728729</x:v>
      </x:c>
      <x:c r="G185" s="7" t="n">
        <x:v>-86.77768801221002</x:v>
      </x:c>
      <x:c r="H185" s="1" t="str">
        <x:v>R001</x:v>
      </x:c>
      <x:c r="I185" s="1" t="str">
        <x:v>Carlos Mejía</x:v>
      </x:c>
      <x:c r="J185" s="1" t="str">
        <x:v>V001</x:v>
      </x:c>
      <x:c r="K185" s="1" t="str">
        <x:v>Pickup con carrocería</x:v>
      </x:c>
      <x:c r="L185" s="1" t="str">
        <x:v>RT-20260527-R001</x:v>
      </x:c>
      <x:c r="M185" s="1" t="str">
        <x:v>06:30</x:v>
      </x:c>
      <x:c r="N185" s="1" t="str">
        <x:v>06:41</x:v>
      </x:c>
      <x:c r="O185" s="1" t="n">
        <x:v>11</x:v>
      </x:c>
      <x:c r="P185" s="5" t="n">
        <x:f>ROUND(X185+Y185,2)</x:f>
        <x:v>5.2</x:v>
      </x:c>
      <x:c r="Q185" s="5" t="n">
        <x:f>ROUND(P185/Vehiculos!$E$2*Vehiculos!$F$2,2)</x:f>
        <x:v>18.02</x:v>
      </x:c>
      <x:c r="R185" s="1" t="str">
        <x:v>Entregado</x:v>
      </x:c>
      <x:c r="S185" s="1" t="str">
        <x:v>Media</x:v>
      </x:c>
      <x:c r="T185" s="1" t="n">
        <x:v>1</x:v>
      </x:c>
      <x:c r="U185" s="1" t="n">
        <x:v>1</x:v>
      </x:c>
      <x:c r="V185" s="5" t="n">
        <x:v>6742.54</x:v>
      </x:c>
      <x:c r="W185" s="1" t="str">
        <x:v>08:50</x:v>
      </x:c>
      <x:c r="X185" s="1" t="n">
        <x:v>5.2</x:v>
      </x:c>
      <x:c r="Y185" s="1" t="n">
        <x:f>Parametros_Operacion!$B$6*0</x:f>
        <x:v>0</x:v>
      </x:c>
    </x:row>
    <x:row r="186">
      <x:c r="A186" s="1" t="str">
        <x:v>P0169</x:v>
      </x:c>
      <x:c r="B186" s="6" t="n">
        <x:v>46169.31319444445</x:v>
      </x:c>
      <x:c r="C186" s="1" t="str">
        <x:v>C003</x:v>
      </x:c>
      <x:c r="D186" s="1" t="str">
        <x:v>Supermercado Rafael</x:v>
      </x:c>
      <x:c r="E186" s="1" t="str">
        <x:v>San Francisco</x:v>
      </x:c>
      <x:c r="F186" s="7" t="n">
        <x:v>15.64049383890165</x:v>
      </x:c>
      <x:c r="G186" s="7" t="n">
        <x:v>-86.97798878026339</x:v>
      </x:c>
      <x:c r="H186" s="1" t="str">
        <x:v>R005</x:v>
      </x:c>
      <x:c r="I186" s="1" t="str">
        <x:v>José Martínez</x:v>
      </x:c>
      <x:c r="J186" s="1" t="str">
        <x:v>V005</x:v>
      </x:c>
      <x:c r="K186" s="1" t="str">
        <x:v>Camión pequeño</x:v>
      </x:c>
      <x:c r="L186" s="1" t="str">
        <x:v>RT-20260527-R005</x:v>
      </x:c>
      <x:c r="M186" s="1" t="str">
        <x:v>07:19</x:v>
      </x:c>
      <x:c r="N186" s="1" t="str">
        <x:v>07:31</x:v>
      </x:c>
      <x:c r="O186" s="1" t="n">
        <x:v>12</x:v>
      </x:c>
      <x:c r="P186" s="5" t="n">
        <x:f>ROUND(X186+Y186,2)</x:f>
        <x:v>75.68</x:v>
      </x:c>
      <x:c r="Q186" s="5" t="n">
        <x:f>ROUND(P186/Vehiculos!$E$6*Vehiculos!$F$6,2)</x:f>
        <x:v>360.67</x:v>
      </x:c>
      <x:c r="R186" s="1" t="str">
        <x:v>Entregado</x:v>
      </x:c>
      <x:c r="S186" s="1" t="str">
        <x:v>Media</x:v>
      </x:c>
      <x:c r="T186" s="1" t="n">
        <x:v>1</x:v>
      </x:c>
      <x:c r="U186" s="1" t="n">
        <x:v>1</x:v>
      </x:c>
      <x:c r="V186" s="5" t="n">
        <x:v>1423.96</x:v>
      </x:c>
      <x:c r="W186" s="1" t="str">
        <x:v>08:50</x:v>
      </x:c>
      <x:c r="X186" s="1" t="n">
        <x:v>5.68</x:v>
      </x:c>
      <x:c r="Y186" s="1" t="n">
        <x:f>Parametros_Operacion!$B$8*2</x:f>
        <x:v>70</x:v>
      </x:c>
    </x:row>
    <x:row r="187">
      <x:c r="A187" s="1" t="str">
        <x:v>P0096</x:v>
      </x:c>
      <x:c r="B187" s="6" t="n">
        <x:v>46169.313888888886</x:v>
      </x:c>
      <x:c r="C187" s="1" t="str">
        <x:v>C015</x:v>
      </x:c>
      <x:c r="D187" s="1" t="str">
        <x:v>Comercial El Progreso</x:v>
      </x:c>
      <x:c r="E187" s="1" t="str">
        <x:v>La Masica</x:v>
      </x:c>
      <x:c r="F187" s="7" t="n">
        <x:v>15.6223364219448</x:v>
      </x:c>
      <x:c r="G187" s="7" t="n">
        <x:v>-86.68490080801452</x:v>
      </x:c>
      <x:c r="H187" s="1" t="str">
        <x:v>R004</x:v>
      </x:c>
      <x:c r="I187" s="1" t="str">
        <x:v>Daniela Cruz</x:v>
      </x:c>
      <x:c r="J187" s="1" t="str">
        <x:v>V004</x:v>
      </x:c>
      <x:c r="K187" s="1" t="str">
        <x:v>Pickup con carrocería</x:v>
      </x:c>
      <x:c r="L187" s="1" t="str">
        <x:v>RT-20260527-R004</x:v>
      </x:c>
      <x:c r="M187" s="1" t="str">
        <x:v>07:20</x:v>
      </x:c>
      <x:c r="N187" s="1" t="str">
        <x:v>07:32</x:v>
      </x:c>
      <x:c r="O187" s="1" t="n">
        <x:v>12</x:v>
      </x:c>
      <x:c r="P187" s="5" t="n">
        <x:f>ROUND(X187+Y187,2)</x:f>
        <x:v>44.5</x:v>
      </x:c>
      <x:c r="Q187" s="5" t="n">
        <x:f>ROUND(P187/Vehiculos!$E$5*Vehiculos!$F$5,2)</x:f>
        <x:v>161.58</x:v>
      </x:c>
      <x:c r="R187" s="1" t="str">
        <x:v>Entregado</x:v>
      </x:c>
      <x:c r="S187" s="1" t="str">
        <x:v>Media</x:v>
      </x:c>
      <x:c r="T187" s="1" t="n">
        <x:v>1</x:v>
      </x:c>
      <x:c r="U187" s="1" t="n">
        <x:v>1</x:v>
      </x:c>
      <x:c r="V187" s="5" t="n">
        <x:v>1010.99</x:v>
      </x:c>
      <x:c r="W187" s="1" t="str">
        <x:v>08:50</x:v>
      </x:c>
      <x:c r="X187" s="1" t="n">
        <x:v>3.3</x:v>
      </x:c>
      <x:c r="Y187" s="1" t="n">
        <x:f>Parametros_Operacion!$B$7*1</x:f>
        <x:v>41.2</x:v>
      </x:c>
    </x:row>
    <x:row r="188">
      <x:c r="A188" s="1" t="str">
        <x:v>P0194</x:v>
      </x:c>
      <x:c r="B188" s="6" t="n">
        <x:v>46169.32152777778</x:v>
      </x:c>
      <x:c r="C188" s="1" t="str">
        <x:v>C022</x:v>
      </x:c>
      <x:c r="D188" s="1" t="str">
        <x:v>Mini Súper La Bendición</x:v>
      </x:c>
      <x:c r="E188" s="1" t="str">
        <x:v>La Masica</x:v>
      </x:c>
      <x:c r="F188" s="7" t="n">
        <x:v>15.64119141911907</x:v>
      </x:c>
      <x:c r="G188" s="7" t="n">
        <x:v>-86.68050338819044</x:v>
      </x:c>
      <x:c r="H188" s="1" t="str">
        <x:v>R004</x:v>
      </x:c>
      <x:c r="I188" s="1" t="str">
        <x:v>Daniela Cruz</x:v>
      </x:c>
      <x:c r="J188" s="1" t="str">
        <x:v>V004</x:v>
      </x:c>
      <x:c r="K188" s="1" t="str">
        <x:v>Pickup con carrocería</x:v>
      </x:c>
      <x:c r="L188" s="1" t="str">
        <x:v>RT-20260527-R004</x:v>
      </x:c>
      <x:c r="M188" s="1" t="str">
        <x:v>07:32</x:v>
      </x:c>
      <x:c r="N188" s="1" t="str">
        <x:v>07:43</x:v>
      </x:c>
      <x:c r="O188" s="1" t="n">
        <x:v>11</x:v>
      </x:c>
      <x:c r="P188" s="5" t="n">
        <x:f>ROUND(X188+Y188,2)</x:f>
        <x:v>48.3</x:v>
      </x:c>
      <x:c r="Q188" s="5" t="n">
        <x:f>ROUND(P188/Vehiculos!$E$5*Vehiculos!$F$5,2)</x:f>
        <x:v>175.38</x:v>
      </x:c>
      <x:c r="R188" s="1" t="str">
        <x:v>Entregado</x:v>
      </x:c>
      <x:c r="S188" s="1" t="str">
        <x:v>Media</x:v>
      </x:c>
      <x:c r="T188" s="1" t="n">
        <x:v>2</x:v>
      </x:c>
      <x:c r="U188" s="1" t="n">
        <x:v>2</x:v>
      </x:c>
      <x:c r="V188" s="5" t="n">
        <x:v>4673.32</x:v>
      </x:c>
      <x:c r="W188" s="1" t="str">
        <x:v>08:50</x:v>
      </x:c>
      <x:c r="X188" s="1" t="n">
        <x:v>7.1</x:v>
      </x:c>
      <x:c r="Y188" s="1" t="n">
        <x:f>Parametros_Operacion!$B$7*1</x:f>
        <x:v>41.2</x:v>
      </x:c>
    </x:row>
    <x:row r="189">
      <x:c r="A189" s="1" t="str">
        <x:v>P0207</x:v>
      </x:c>
      <x:c r="B189" s="6" t="n">
        <x:v>46169.34722222222</x:v>
      </x:c>
      <x:c r="C189" s="1" t="str">
        <x:v>C032</x:v>
      </x:c>
      <x:c r="D189" s="1" t="str">
        <x:v>Mini Súper Atlántida</x:v>
      </x:c>
      <x:c r="E189" s="1" t="str">
        <x:v>Esparta</x:v>
      </x:c>
      <x:c r="F189" s="7" t="n">
        <x:v>15.6324518057495</x:v>
      </x:c>
      <x:c r="G189" s="7" t="n">
        <x:v>-87.2624583084211</x:v>
      </x:c>
      <x:c r="H189" s="1" t="str">
        <x:v>R007</x:v>
      </x:c>
      <x:c r="I189" s="1" t="str">
        <x:v>María Hernández</x:v>
      </x:c>
      <x:c r="J189" s="1" t="str">
        <x:v>V007</x:v>
      </x:c>
      <x:c r="K189" s="1" t="str">
        <x:v>Pickup con carrocería</x:v>
      </x:c>
      <x:c r="L189" s="1" t="str">
        <x:v>RT-20260527-R007</x:v>
      </x:c>
      <x:c r="M189" s="1" t="str">
        <x:v>08:08</x:v>
      </x:c>
      <x:c r="N189" s="1" t="str">
        <x:v>08:20</x:v>
      </x:c>
      <x:c r="O189" s="1" t="n">
        <x:v>12</x:v>
      </x:c>
      <x:c r="P189" s="5" t="n">
        <x:f>ROUND(X189+Y189,2)</x:f>
        <x:v>78.68</x:v>
      </x:c>
      <x:c r="Q189" s="5" t="n">
        <x:f>ROUND(P189/Vehiculos!$E$8*Vehiculos!$F$8,2)</x:f>
        <x:v>299.97</x:v>
      </x:c>
      <x:c r="R189" s="1" t="str">
        <x:v>Entregado</x:v>
      </x:c>
      <x:c r="S189" s="1" t="str">
        <x:v>Media</x:v>
      </x:c>
      <x:c r="T189" s="1" t="n">
        <x:v>1</x:v>
      </x:c>
      <x:c r="U189" s="1" t="n">
        <x:v>1</x:v>
      </x:c>
      <x:c r="V189" s="5" t="n">
        <x:v>3207.36</x:v>
      </x:c>
      <x:c r="W189" s="1" t="str">
        <x:v>08:50</x:v>
      </x:c>
      <x:c r="X189" s="1" t="n">
        <x:v>3.18</x:v>
      </x:c>
      <x:c r="Y189" s="1" t="n">
        <x:f>Parametros_Operacion!$B$4*1</x:f>
        <x:v>75.5</x:v>
      </x:c>
    </x:row>
    <x:row r="190">
      <x:c r="A190" s="1" t="str">
        <x:v>P0209</x:v>
      </x:c>
      <x:c r="B190" s="6" t="n">
        <x:v>46169.35902777778</x:v>
      </x:c>
      <x:c r="C190" s="1" t="str">
        <x:v>C029</x:v>
      </x:c>
      <x:c r="D190" s="1" t="str">
        <x:v>Mini Súper El Triunfo</x:v>
      </x:c>
      <x:c r="E190" s="1" t="str">
        <x:v>Esparta</x:v>
      </x:c>
      <x:c r="F190" s="7" t="n">
        <x:v>15.67954455979815</x:v>
      </x:c>
      <x:c r="G190" s="7" t="n">
        <x:v>-87.27057452130482</x:v>
      </x:c>
      <x:c r="H190" s="1" t="str">
        <x:v>R007</x:v>
      </x:c>
      <x:c r="I190" s="1" t="str">
        <x:v>María Hernández</x:v>
      </x:c>
      <x:c r="J190" s="1" t="str">
        <x:v>V007</x:v>
      </x:c>
      <x:c r="K190" s="1" t="str">
        <x:v>Pickup con carrocería</x:v>
      </x:c>
      <x:c r="L190" s="1" t="str">
        <x:v>RT-20260527-R007</x:v>
      </x:c>
      <x:c r="M190" s="1" t="str">
        <x:v>08:20</x:v>
      </x:c>
      <x:c r="N190" s="1" t="str">
        <x:v>08:37</x:v>
      </x:c>
      <x:c r="O190" s="1" t="n">
        <x:v>17</x:v>
      </x:c>
      <x:c r="P190" s="5" t="n">
        <x:f>ROUND(X190+Y190,2)</x:f>
        <x:v>6.64</x:v>
      </x:c>
      <x:c r="Q190" s="5" t="n">
        <x:f>ROUND(P190/Vehiculos!$E$8*Vehiculos!$F$8,2)</x:f>
        <x:v>25.32</x:v>
      </x:c>
      <x:c r="R190" s="1" t="str">
        <x:v>Entregado</x:v>
      </x:c>
      <x:c r="S190" s="1" t="str">
        <x:v>Media</x:v>
      </x:c>
      <x:c r="T190" s="1" t="n">
        <x:v>2</x:v>
      </x:c>
      <x:c r="U190" s="1" t="n">
        <x:v>3</x:v>
      </x:c>
      <x:c r="V190" s="5" t="n">
        <x:v>2281.42</x:v>
      </x:c>
      <x:c r="W190" s="1" t="str">
        <x:v>08:50</x:v>
      </x:c>
      <x:c r="X190" s="1" t="n">
        <x:v>6.64</x:v>
      </x:c>
      <x:c r="Y190" s="1" t="n">
        <x:f>Parametros_Operacion!$B$4*0</x:f>
        <x:v>0</x:v>
      </x:c>
    </x:row>
    <x:row r="191">
      <x:c r="A191" s="1" t="str">
        <x:v>P0210</x:v>
      </x:c>
      <x:c r="B191" s="6" t="n">
        <x:v>46169.36736111111</x:v>
      </x:c>
      <x:c r="C191" s="1" t="str">
        <x:v>C018</x:v>
      </x:c>
      <x:c r="D191" s="1" t="str">
        <x:v>Comercial Caribe</x:v>
      </x:c>
      <x:c r="E191" s="1" t="str">
        <x:v>Esparta</x:v>
      </x:c>
      <x:c r="F191" s="7" t="n">
        <x:v>15.66265844998048</x:v>
      </x:c>
      <x:c r="G191" s="7" t="n">
        <x:v>-87.2525029728019</x:v>
      </x:c>
      <x:c r="H191" s="1" t="str">
        <x:v>R007</x:v>
      </x:c>
      <x:c r="I191" s="1" t="str">
        <x:v>María Hernández</x:v>
      </x:c>
      <x:c r="J191" s="1" t="str">
        <x:v>V007</x:v>
      </x:c>
      <x:c r="K191" s="1" t="str">
        <x:v>Pickup con carrocería</x:v>
      </x:c>
      <x:c r="L191" s="1" t="str">
        <x:v>RT-20260527-R007</x:v>
      </x:c>
      <x:c r="M191" s="1" t="str">
        <x:v>08:37</x:v>
      </x:c>
      <x:c r="N191" s="1" t="str">
        <x:v>08:49</x:v>
      </x:c>
      <x:c r="O191" s="1" t="n">
        <x:v>12</x:v>
      </x:c>
      <x:c r="P191" s="5" t="n">
        <x:f>ROUND(X191+Y191,2)</x:f>
        <x:v>81.29</x:v>
      </x:c>
      <x:c r="Q191" s="5" t="n">
        <x:f>ROUND(P191/Vehiculos!$E$8*Vehiculos!$F$8,2)</x:f>
        <x:v>309.92</x:v>
      </x:c>
      <x:c r="R191" s="1" t="str">
        <x:v>Entregado</x:v>
      </x:c>
      <x:c r="S191" s="1" t="str">
        <x:v>Media</x:v>
      </x:c>
      <x:c r="T191" s="1" t="n">
        <x:v>3</x:v>
      </x:c>
      <x:c r="U191" s="1" t="n">
        <x:v>2</x:v>
      </x:c>
      <x:c r="V191" s="5" t="n">
        <x:v>5651.7</x:v>
      </x:c>
      <x:c r="W191" s="1" t="str">
        <x:v>08:50</x:v>
      </x:c>
      <x:c r="X191" s="1" t="n">
        <x:v>5.79</x:v>
      </x:c>
      <x:c r="Y191" s="1" t="n">
        <x:f>Parametros_Operacion!$B$4*1</x:f>
        <x:v>75.5</x:v>
      </x:c>
    </x:row>
    <x:row r="192">
      <x:c r="A192" s="1" t="str">
        <x:v>P0046</x:v>
      </x:c>
      <x:c r="B192" s="6" t="n">
        <x:v>46169.36944444444</x:v>
      </x:c>
      <x:c r="C192" s="1" t="str">
        <x:v>C046</x:v>
      </x:c>
      <x:c r="D192" s="1" t="str">
        <x:v>Abarrotería El Centro</x:v>
      </x:c>
      <x:c r="E192" s="1" t="str">
        <x:v>Tela</x:v>
      </x:c>
      <x:c r="F192" s="7" t="n">
        <x:v>15.75345936034755</x:v>
      </x:c>
      <x:c r="G192" s="7" t="n">
        <x:v>-87.43026035645514</x:v>
      </x:c>
      <x:c r="H192" s="1" t="str">
        <x:v>R002</x:v>
      </x:c>
      <x:c r="I192" s="1" t="str">
        <x:v>Ana López</x:v>
      </x:c>
      <x:c r="J192" s="1" t="str">
        <x:v>V002</x:v>
      </x:c>
      <x:c r="K192" s="1" t="str">
        <x:v>Pickup con carrocería</x:v>
      </x:c>
      <x:c r="L192" s="1" t="str">
        <x:v>RT-20260527-R002</x:v>
      </x:c>
      <x:c r="M192" s="1" t="str">
        <x:v>08:38</x:v>
      </x:c>
      <x:c r="N192" s="1" t="str">
        <x:v>08:52</x:v>
      </x:c>
      <x:c r="O192" s="1" t="n">
        <x:v>14</x:v>
      </x:c>
      <x:c r="P192" s="5" t="n">
        <x:f>ROUND(X192+Y192,2)</x:f>
        <x:v>106.95</x:v>
      </x:c>
      <x:c r="Q192" s="5" t="n">
        <x:f>ROUND(P192/Vehiculos!$E$3*Vehiculos!$F$3,2)</x:f>
        <x:v>388.33</x:v>
      </x:c>
      <x:c r="R192" s="1" t="str">
        <x:v>Entregado</x:v>
      </x:c>
      <x:c r="S192" s="1" t="str">
        <x:v>Baja</x:v>
      </x:c>
      <x:c r="T192" s="1" t="n">
        <x:v>1</x:v>
      </x:c>
      <x:c r="U192" s="1" t="n">
        <x:v>1</x:v>
      </x:c>
      <x:c r="V192" s="5" t="n">
        <x:v>7040.82</x:v>
      </x:c>
      <x:c r="W192" s="1" t="str">
        <x:v>09:30</x:v>
      </x:c>
      <x:c r="X192" s="1" t="n">
        <x:v>4.65</x:v>
      </x:c>
      <x:c r="Y192" s="1" t="n">
        <x:f>Parametros_Operacion!$B$9*1</x:f>
        <x:v>102.3</x:v>
      </x:c>
    </x:row>
    <x:row r="193">
      <x:c r="A193" s="1" t="str">
        <x:v>P0208</x:v>
      </x:c>
      <x:c r="B193" s="6" t="n">
        <x:v>46169.375</x:v>
      </x:c>
      <x:c r="C193" s="1" t="str">
        <x:v>C046</x:v>
      </x:c>
      <x:c r="D193" s="1" t="str">
        <x:v>Abarrotería El Centro</x:v>
      </x:c>
      <x:c r="E193" s="1" t="str">
        <x:v>Tela</x:v>
      </x:c>
      <x:c r="F193" s="7" t="n">
        <x:v>15.75345936034755</x:v>
      </x:c>
      <x:c r="G193" s="7" t="n">
        <x:v>-87.43026035645514</x:v>
      </x:c>
      <x:c r="H193" s="1" t="str">
        <x:v>R002</x:v>
      </x:c>
      <x:c r="I193" s="1" t="str">
        <x:v>Ana López</x:v>
      </x:c>
      <x:c r="J193" s="1" t="str">
        <x:v>V002</x:v>
      </x:c>
      <x:c r="K193" s="1" t="str">
        <x:v>Pickup con carrocería</x:v>
      </x:c>
      <x:c r="L193" s="1" t="str">
        <x:v>RT-20260527-R002</x:v>
      </x:c>
      <x:c r="M193" s="1" t="str">
        <x:v>08:52</x:v>
      </x:c>
      <x:c r="N193" s="1" t="str">
        <x:v>09:00</x:v>
      </x:c>
      <x:c r="O193" s="1" t="n">
        <x:v>8</x:v>
      </x:c>
      <x:c r="P193" s="5" t="n">
        <x:f>ROUND(X193+Y193,2)</x:f>
        <x:v>106.95</x:v>
      </x:c>
      <x:c r="Q193" s="5" t="n">
        <x:f>ROUND(P193/Vehiculos!$E$3*Vehiculos!$F$3,2)</x:f>
        <x:v>388.33</x:v>
      </x:c>
      <x:c r="R193" s="1" t="str">
        <x:v>Retrasado</x:v>
      </x:c>
      <x:c r="S193" s="1" t="str">
        <x:v>Media</x:v>
      </x:c>
      <x:c r="T193" s="1" t="n">
        <x:v>2</x:v>
      </x:c>
      <x:c r="U193" s="1" t="n">
        <x:v>2</x:v>
      </x:c>
      <x:c r="V193" s="5" t="n">
        <x:v>5906.8</x:v>
      </x:c>
      <x:c r="W193" s="1" t="str">
        <x:v>08:50</x:v>
      </x:c>
      <x:c r="X193" s="1" t="n">
        <x:v>4.65</x:v>
      </x:c>
      <x:c r="Y193" s="1" t="n">
        <x:f>Parametros_Operacion!$B$9*1</x:f>
        <x:v>102.3</x:v>
      </x:c>
    </x:row>
    <x:row r="194">
      <x:c r="A194" s="1" t="str">
        <x:v>P0141</x:v>
      </x:c>
      <x:c r="B194" s="6" t="n">
        <x:v>46170.3125</x:v>
      </x:c>
      <x:c r="C194" s="1" t="str">
        <x:v>C035</x:v>
      </x:c>
      <x:c r="D194" s="1" t="str">
        <x:v>Comercial El Progreso</x:v>
      </x:c>
      <x:c r="E194" s="1" t="str">
        <x:v>La Masica</x:v>
      </x:c>
      <x:c r="F194" s="7" t="n">
        <x:v>15.62206912424701</x:v>
      </x:c>
      <x:c r="G194" s="7" t="n">
        <x:v>-86.6956589389744</x:v>
      </x:c>
      <x:c r="H194" s="1" t="str">
        <x:v>R004</x:v>
      </x:c>
      <x:c r="I194" s="1" t="str">
        <x:v>Daniela Cruz</x:v>
      </x:c>
      <x:c r="J194" s="1" t="str">
        <x:v>V004</x:v>
      </x:c>
      <x:c r="K194" s="1" t="str">
        <x:v>Pickup con carrocería</x:v>
      </x:c>
      <x:c r="L194" s="1" t="str">
        <x:v>RT-20260528-R004</x:v>
      </x:c>
      <x:c r="M194" s="1" t="str">
        <x:v>07:20</x:v>
      </x:c>
      <x:c r="N194" s="1" t="str">
        <x:v>07:30</x:v>
      </x:c>
      <x:c r="O194" s="1" t="n">
        <x:v>10</x:v>
      </x:c>
      <x:c r="P194" s="5" t="n">
        <x:f>ROUND(X194+Y194,2)</x:f>
        <x:v>43.1</x:v>
      </x:c>
      <x:c r="Q194" s="5" t="n">
        <x:f>ROUND(P194/Vehiculos!$E$5*Vehiculos!$F$5,2)</x:f>
        <x:v>156.5</x:v>
      </x:c>
      <x:c r="R194" s="1" t="str">
        <x:v>Entregado</x:v>
      </x:c>
      <x:c r="S194" s="1" t="str">
        <x:v>Media</x:v>
      </x:c>
      <x:c r="T194" s="1" t="n">
        <x:v>1</x:v>
      </x:c>
      <x:c r="U194" s="1" t="n">
        <x:v>1</x:v>
      </x:c>
      <x:c r="V194" s="5" t="n">
        <x:v>3608.52</x:v>
      </x:c>
      <x:c r="W194" s="1" t="str">
        <x:v>08:50</x:v>
      </x:c>
      <x:c r="X194" s="1" t="n">
        <x:v>1.9</x:v>
      </x:c>
      <x:c r="Y194" s="1" t="n">
        <x:f>Parametros_Operacion!$B$7*1</x:f>
        <x:v>41.2</x:v>
      </x:c>
    </x:row>
    <x:row r="195">
      <x:c r="A195" s="1" t="str">
        <x:v>P0215</x:v>
      </x:c>
      <x:c r="B195" s="6" t="n">
        <x:v>46170.322916666664</x:v>
      </x:c>
      <x:c r="C195" s="1" t="str">
        <x:v>C001</x:v>
      </x:c>
      <x:c r="D195" s="1" t="str">
        <x:v>Pulpería Oseguera</x:v>
      </x:c>
      <x:c r="E195" s="1" t="str">
        <x:v>La Masica</x:v>
      </x:c>
      <x:c r="F195" s="7" t="n">
        <x:v>15.62413862767416</x:v>
      </x:c>
      <x:c r="G195" s="7" t="n">
        <x:v>-86.73722407175156</x:v>
      </x:c>
      <x:c r="H195" s="1" t="str">
        <x:v>R004</x:v>
      </x:c>
      <x:c r="I195" s="1" t="str">
        <x:v>Daniela Cruz</x:v>
      </x:c>
      <x:c r="J195" s="1" t="str">
        <x:v>V004</x:v>
      </x:c>
      <x:c r="K195" s="1" t="str">
        <x:v>Pickup con carrocería</x:v>
      </x:c>
      <x:c r="L195" s="1" t="str">
        <x:v>RT-20260528-R004</x:v>
      </x:c>
      <x:c r="M195" s="1" t="str">
        <x:v>07:30</x:v>
      </x:c>
      <x:c r="N195" s="1" t="str">
        <x:v>07:45</x:v>
      </x:c>
      <x:c r="O195" s="1" t="n">
        <x:v>15</x:v>
      </x:c>
      <x:c r="P195" s="5" t="n">
        <x:f>ROUND(X195+Y195,2)</x:f>
        <x:v>5.57</x:v>
      </x:c>
      <x:c r="Q195" s="5" t="n">
        <x:f>ROUND(P195/Vehiculos!$E$5*Vehiculos!$F$5,2)</x:f>
        <x:v>20.22</x:v>
      </x:c>
      <x:c r="R195" s="1" t="str">
        <x:v>Entregado</x:v>
      </x:c>
      <x:c r="S195" s="1" t="str">
        <x:v>Media</x:v>
      </x:c>
      <x:c r="T195" s="1" t="n">
        <x:v>2</x:v>
      </x:c>
      <x:c r="U195" s="1" t="n">
        <x:v>3</x:v>
      </x:c>
      <x:c r="V195" s="5" t="n">
        <x:v>1074.31</x:v>
      </x:c>
      <x:c r="W195" s="1" t="str">
        <x:v>08:50</x:v>
      </x:c>
      <x:c r="X195" s="1" t="n">
        <x:v>5.57</x:v>
      </x:c>
      <x:c r="Y195" s="1" t="n">
        <x:f>Parametros_Operacion!$B$7*0</x:f>
        <x:v>0</x:v>
      </x:c>
    </x:row>
    <x:row r="196">
      <x:c r="A196" s="1" t="str">
        <x:v>P0200</x:v>
      </x:c>
      <x:c r="B196" s="6" t="n">
        <x:v>46170.33125</x:v>
      </x:c>
      <x:c r="C196" s="1" t="str">
        <x:v>C023</x:v>
      </x:c>
      <x:c r="D196" s="1" t="str">
        <x:v>Supermercado Rafael</x:v>
      </x:c>
      <x:c r="E196" s="1" t="str">
        <x:v>La Masica</x:v>
      </x:c>
      <x:c r="F196" s="7" t="n">
        <x:v>15.6461293985481</x:v>
      </x:c>
      <x:c r="G196" s="7" t="n">
        <x:v>-86.73872358205551</x:v>
      </x:c>
      <x:c r="H196" s="1" t="str">
        <x:v>R004</x:v>
      </x:c>
      <x:c r="I196" s="1" t="str">
        <x:v>Daniela Cruz</x:v>
      </x:c>
      <x:c r="J196" s="1" t="str">
        <x:v>V004</x:v>
      </x:c>
      <x:c r="K196" s="1" t="str">
        <x:v>Pickup con carrocería</x:v>
      </x:c>
      <x:c r="L196" s="1" t="str">
        <x:v>RT-20260528-R004</x:v>
      </x:c>
      <x:c r="M196" s="1" t="str">
        <x:v>07:45</x:v>
      </x:c>
      <x:c r="N196" s="1" t="str">
        <x:v>07:57</x:v>
      </x:c>
      <x:c r="O196" s="1" t="n">
        <x:v>12</x:v>
      </x:c>
      <x:c r="P196" s="5" t="n">
        <x:f>ROUND(X196+Y196,2)</x:f>
        <x:v>49.11</x:v>
      </x:c>
      <x:c r="Q196" s="5" t="n">
        <x:f>ROUND(P196/Vehiculos!$E$5*Vehiculos!$F$5,2)</x:f>
        <x:v>178.32</x:v>
      </x:c>
      <x:c r="R196" s="1" t="str">
        <x:v>Entregado</x:v>
      </x:c>
      <x:c r="S196" s="1" t="str">
        <x:v>Media</x:v>
      </x:c>
      <x:c r="T196" s="1" t="n">
        <x:v>3</x:v>
      </x:c>
      <x:c r="U196" s="1" t="n">
        <x:v>2</x:v>
      </x:c>
      <x:c r="V196" s="5" t="n">
        <x:v>3849.5</x:v>
      </x:c>
      <x:c r="W196" s="1" t="str">
        <x:v>08:50</x:v>
      </x:c>
      <x:c r="X196" s="1" t="n">
        <x:v>7.91</x:v>
      </x:c>
      <x:c r="Y196" s="1" t="n">
        <x:f>Parametros_Operacion!$B$7*1</x:f>
        <x:v>41.2</x:v>
      </x:c>
    </x:row>
    <x:row r="197">
      <x:c r="A197" s="1" t="str">
        <x:v>P0212</x:v>
      </x:c>
      <x:c r="B197" s="6" t="n">
        <x:v>46170.34722222222</x:v>
      </x:c>
      <x:c r="C197" s="1" t="str">
        <x:v>C052</x:v>
      </x:c>
      <x:c r="D197" s="1" t="str">
        <x:v>Mini Súper Atlántida</x:v>
      </x:c>
      <x:c r="E197" s="1" t="str">
        <x:v>Esparta</x:v>
      </x:c>
      <x:c r="F197" s="7" t="n">
        <x:v>15.67699341269267</x:v>
      </x:c>
      <x:c r="G197" s="7" t="n">
        <x:v>-87.263502500332</x:v>
      </x:c>
      <x:c r="H197" s="1" t="str">
        <x:v>R007</x:v>
      </x:c>
      <x:c r="I197" s="1" t="str">
        <x:v>María Hernández</x:v>
      </x:c>
      <x:c r="J197" s="1" t="str">
        <x:v>V007</x:v>
      </x:c>
      <x:c r="K197" s="1" t="str">
        <x:v>Pickup con carrocería</x:v>
      </x:c>
      <x:c r="L197" s="1" t="str">
        <x:v>RT-20260528-R007</x:v>
      </x:c>
      <x:c r="M197" s="1" t="str">
        <x:v>08:08</x:v>
      </x:c>
      <x:c r="N197" s="1" t="str">
        <x:v>08:20</x:v>
      </x:c>
      <x:c r="O197" s="1" t="n">
        <x:v>12</x:v>
      </x:c>
      <x:c r="P197" s="5" t="n">
        <x:f>ROUND(X197+Y197,2)</x:f>
        <x:v>157.36</x:v>
      </x:c>
      <x:c r="Q197" s="5" t="n">
        <x:f>ROUND(P197/Vehiculos!$E$8*Vehiculos!$F$8,2)</x:f>
        <x:v>599.94</x:v>
      </x:c>
      <x:c r="R197" s="1" t="str">
        <x:v>Entregado</x:v>
      </x:c>
      <x:c r="S197" s="1" t="str">
        <x:v>Media</x:v>
      </x:c>
      <x:c r="T197" s="1" t="n">
        <x:v>1</x:v>
      </x:c>
      <x:c r="U197" s="1" t="n">
        <x:v>1</x:v>
      </x:c>
      <x:c r="V197" s="5" t="n">
        <x:v>4511.17</x:v>
      </x:c>
      <x:c r="W197" s="1" t="str">
        <x:v>08:50</x:v>
      </x:c>
      <x:c r="X197" s="1" t="n">
        <x:v>6.36</x:v>
      </x:c>
      <x:c r="Y197" s="1" t="n">
        <x:f>Parametros_Operacion!$B$4*2</x:f>
        <x:v>151</x:v>
      </x:c>
    </x:row>
    <x:row r="198">
      <x:c r="A198" s="1" t="str">
        <x:v>P0124</x:v>
      </x:c>
      <x:c r="B198" s="6" t="n">
        <x:v>46171.294444444444</x:v>
      </x:c>
      <x:c r="C198" s="1" t="str">
        <x:v>C026</x:v>
      </x:c>
      <x:c r="D198" s="1" t="str">
        <x:v>Abarrotería El Centro</x:v>
      </x:c>
      <x:c r="E198" s="1" t="str">
        <x:v>El Porvenir</x:v>
      </x:c>
      <x:c r="F198" s="7" t="n">
        <x:v>15.73229290571563</x:v>
      </x:c>
      <x:c r="G198" s="7" t="n">
        <x:v>-86.88455113795342</x:v>
      </x:c>
      <x:c r="H198" s="1" t="str">
        <x:v>R008</x:v>
      </x:c>
      <x:c r="I198" s="1" t="str">
        <x:v>Jorge Castro</x:v>
      </x:c>
      <x:c r="J198" s="1" t="str">
        <x:v>V008</x:v>
      </x:c>
      <x:c r="K198" s="1" t="str">
        <x:v>Camión pequeño</x:v>
      </x:c>
      <x:c r="L198" s="1" t="str">
        <x:v>RT-20260529-R008</x:v>
      </x:c>
      <x:c r="M198" s="1" t="str">
        <x:v>06:54</x:v>
      </x:c>
      <x:c r="N198" s="1" t="str">
        <x:v>07:04</x:v>
      </x:c>
      <x:c r="O198" s="1" t="n">
        <x:v>10</x:v>
      </x:c>
      <x:c r="P198" s="5" t="n">
        <x:f>ROUND(X198+Y198,2)</x:f>
        <x:v>36.02</x:v>
      </x:c>
      <x:c r="Q198" s="5" t="n">
        <x:f>ROUND(P198/Vehiculos!$E$9*Vehiculos!$F$9,2)</x:f>
        <x:v>183.1</x:v>
      </x:c>
      <x:c r="R198" s="1" t="str">
        <x:v>Entregado</x:v>
      </x:c>
      <x:c r="S198" s="1" t="str">
        <x:v>Media</x:v>
      </x:c>
      <x:c r="T198" s="1" t="n">
        <x:v>1</x:v>
      </x:c>
      <x:c r="U198" s="1" t="n">
        <x:v>1</x:v>
      </x:c>
      <x:c r="V198" s="5" t="n">
        <x:v>6727.88</x:v>
      </x:c>
      <x:c r="W198" s="1" t="str">
        <x:v>08:50</x:v>
      </x:c>
      <x:c r="X198" s="1" t="n">
        <x:v>3.02</x:v>
      </x:c>
      <x:c r="Y198" s="1" t="n">
        <x:f>Parametros_Operacion!$B$3*2</x:f>
        <x:v>33</x:v>
      </x:c>
    </x:row>
    <x:row r="199">
      <x:c r="A199" s="1" t="str">
        <x:v>P0206</x:v>
      </x:c>
      <x:c r="B199" s="6" t="n">
        <x:v>46171.30625</x:v>
      </x:c>
      <x:c r="C199" s="1" t="str">
        <x:v>C051</x:v>
      </x:c>
      <x:c r="D199" s="1" t="str">
        <x:v>Pulpería La Esperanza</x:v>
      </x:c>
      <x:c r="E199" s="1" t="str">
        <x:v>Jutiapa</x:v>
      </x:c>
      <x:c r="F199" s="7" t="n">
        <x:v>15.64757132645944</x:v>
      </x:c>
      <x:c r="G199" s="7" t="n">
        <x:v>-86.23647664495304</x:v>
      </x:c>
      <x:c r="H199" s="1" t="str">
        <x:v>R003</x:v>
      </x:c>
      <x:c r="I199" s="1" t="str">
        <x:v>Luis Ramírez</x:v>
      </x:c>
      <x:c r="J199" s="1" t="str">
        <x:v>V003</x:v>
      </x:c>
      <x:c r="K199" s="1" t="str">
        <x:v>Pickup con carrocería</x:v>
      </x:c>
      <x:c r="L199" s="1" t="str">
        <x:v>RT-20260529-R003</x:v>
      </x:c>
      <x:c r="M199" s="1" t="str">
        <x:v>07:10</x:v>
      </x:c>
      <x:c r="N199" s="1" t="str">
        <x:v>07:21</x:v>
      </x:c>
      <x:c r="O199" s="1" t="n">
        <x:v>11</x:v>
      </x:c>
      <x:c r="P199" s="5" t="n">
        <x:f>ROUND(X199+Y199,2)</x:f>
        <x:v>68.04</x:v>
      </x:c>
      <x:c r="Q199" s="5" t="n">
        <x:f>ROUND(P199/Vehiculos!$E$4*Vehiculos!$F$4,2)</x:f>
        <x:v>259.4</x:v>
      </x:c>
      <x:c r="R199" s="1" t="str">
        <x:v>Entregado</x:v>
      </x:c>
      <x:c r="S199" s="1" t="str">
        <x:v>Media</x:v>
      </x:c>
      <x:c r="T199" s="1" t="n">
        <x:v>1</x:v>
      </x:c>
      <x:c r="U199" s="1" t="n">
        <x:v>1</x:v>
      </x:c>
      <x:c r="V199" s="5" t="n">
        <x:v>3867.15</x:v>
      </x:c>
      <x:c r="W199" s="1" t="str">
        <x:v>08:50</x:v>
      </x:c>
      <x:c r="X199" s="1" t="n">
        <x:v>5.24</x:v>
      </x:c>
      <x:c r="Y199" s="1" t="n">
        <x:f>Parametros_Operacion!$B$5*2</x:f>
        <x:v>62.8</x:v>
      </x:c>
    </x:row>
    <x:row r="200">
      <x:c r="A200" s="1" t="str">
        <x:v>P0221</x:v>
      </x:c>
      <x:c r="B200" s="6" t="n">
        <x:v>46171.3125</x:v>
      </x:c>
      <x:c r="C200" s="1" t="str">
        <x:v>C044</x:v>
      </x:c>
      <x:c r="D200" s="1" t="str">
        <x:v>Comercial Rivera</x:v>
      </x:c>
      <x:c r="E200" s="1" t="str">
        <x:v>La Masica</x:v>
      </x:c>
      <x:c r="F200" s="7" t="n">
        <x:v>15.6264976829468</x:v>
      </x:c>
      <x:c r="G200" s="7" t="n">
        <x:v>-86.69902048426763</x:v>
      </x:c>
      <x:c r="H200" s="1" t="str">
        <x:v>R004</x:v>
      </x:c>
      <x:c r="I200" s="1" t="str">
        <x:v>Daniela Cruz</x:v>
      </x:c>
      <x:c r="J200" s="1" t="str">
        <x:v>V004</x:v>
      </x:c>
      <x:c r="K200" s="1" t="str">
        <x:v>Pickup con carrocería</x:v>
      </x:c>
      <x:c r="L200" s="1" t="str">
        <x:v>RT-20260529-R004</x:v>
      </x:c>
      <x:c r="M200" s="1" t="str">
        <x:v>07:20</x:v>
      </x:c>
      <x:c r="N200" s="1" t="str">
        <x:v>07:30</x:v>
      </x:c>
      <x:c r="O200" s="1" t="n">
        <x:v>10</x:v>
      </x:c>
      <x:c r="P200" s="5" t="n">
        <x:f>ROUND(X200+Y200,2)</x:f>
        <x:v>85.16</x:v>
      </x:c>
      <x:c r="Q200" s="5" t="n">
        <x:f>ROUND(P200/Vehiculos!$E$5*Vehiculos!$F$5,2)</x:f>
        <x:v>309.21</x:v>
      </x:c>
      <x:c r="R200" s="1" t="str">
        <x:v>Entregado</x:v>
      </x:c>
      <x:c r="S200" s="1" t="str">
        <x:v>Media</x:v>
      </x:c>
      <x:c r="T200" s="1" t="n">
        <x:v>1</x:v>
      </x:c>
      <x:c r="U200" s="1" t="n">
        <x:v>1</x:v>
      </x:c>
      <x:c r="V200" s="5" t="n">
        <x:v>6408.42</x:v>
      </x:c>
      <x:c r="W200" s="1" t="str">
        <x:v>08:50</x:v>
      </x:c>
      <x:c r="X200" s="1" t="n">
        <x:v>2.76</x:v>
      </x:c>
      <x:c r="Y200" s="1" t="n">
        <x:f>Parametros_Operacion!$B$7*2</x:f>
        <x:v>82.4</x:v>
      </x:c>
    </x:row>
    <x:row r="201">
      <x:c r="A201" s="1" t="str">
        <x:v>P0217</x:v>
      </x:c>
      <x:c r="B201" s="6" t="n">
        <x:v>46171.34375</x:v>
      </x:c>
      <x:c r="C201" s="1" t="str">
        <x:v>C040</x:v>
      </x:c>
      <x:c r="D201" s="1" t="str">
        <x:v>Mercadito La Familia</x:v>
      </x:c>
      <x:c r="E201" s="1" t="str">
        <x:v>Arizona</x:v>
      </x:c>
      <x:c r="F201" s="7" t="n">
        <x:v>15.60480443071797</x:v>
      </x:c>
      <x:c r="G201" s="7" t="n">
        <x:v>-87.339316667913</x:v>
      </x:c>
      <x:c r="H201" s="1" t="str">
        <x:v>R006</x:v>
      </x:c>
      <x:c r="I201" s="1" t="str">
        <x:v>Kevin Flores</x:v>
      </x:c>
      <x:c r="J201" s="1" t="str">
        <x:v>V006</x:v>
      </x:c>
      <x:c r="K201" s="1" t="str">
        <x:v>Pickup con carrocería</x:v>
      </x:c>
      <x:c r="L201" s="1" t="str">
        <x:v>RT-20260529-R006</x:v>
      </x:c>
      <x:c r="M201" s="1" t="str">
        <x:v>08:03</x:v>
      </x:c>
      <x:c r="N201" s="1" t="str">
        <x:v>08:15</x:v>
      </x:c>
      <x:c r="O201" s="1" t="n">
        <x:v>12</x:v>
      </x:c>
      <x:c r="P201" s="5" t="n">
        <x:f>ROUND(X201+Y201,2)</x:f>
        <x:v>75.65</x:v>
      </x:c>
      <x:c r="Q201" s="5" t="n">
        <x:f>ROUND(P201/Vehiculos!$E$7*Vehiculos!$F$7,2)</x:f>
        <x:v>288.42</x:v>
      </x:c>
      <x:c r="R201" s="1" t="str">
        <x:v>Entregado</x:v>
      </x:c>
      <x:c r="S201" s="1" t="str">
        <x:v>Media</x:v>
      </x:c>
      <x:c r="T201" s="1" t="n">
        <x:v>1</x:v>
      </x:c>
      <x:c r="U201" s="1" t="n">
        <x:v>1</x:v>
      </x:c>
      <x:c r="V201" s="5" t="n">
        <x:v>5310.26</x:v>
      </x:c>
      <x:c r="W201" s="1" t="str">
        <x:v>08:50</x:v>
      </x:c>
      <x:c r="X201" s="1" t="n">
        <x:v>3.15</x:v>
      </x:c>
      <x:c r="Y201" s="1" t="n">
        <x:f>Parametros_Operacion!$B$2*1</x:f>
        <x:v>72.5</x:v>
      </x:c>
    </x:row>
    <x:row r="202">
      <x:c r="A202" s="1" t="str">
        <x:v>P0205</x:v>
      </x:c>
      <x:c r="B202" s="6" t="n">
        <x:v>46171.347916666666</x:v>
      </x:c>
      <x:c r="C202" s="1" t="str">
        <x:v>C029</x:v>
      </x:c>
      <x:c r="D202" s="1" t="str">
        <x:v>Mini Súper El Triunfo</x:v>
      </x:c>
      <x:c r="E202" s="1" t="str">
        <x:v>Esparta</x:v>
      </x:c>
      <x:c r="F202" s="7" t="n">
        <x:v>15.67954455979815</x:v>
      </x:c>
      <x:c r="G202" s="7" t="n">
        <x:v>-87.27057452130482</x:v>
      </x:c>
      <x:c r="H202" s="1" t="str">
        <x:v>R007</x:v>
      </x:c>
      <x:c r="I202" s="1" t="str">
        <x:v>María Hernández</x:v>
      </x:c>
      <x:c r="J202" s="1" t="str">
        <x:v>V007</x:v>
      </x:c>
      <x:c r="K202" s="1" t="str">
        <x:v>Pickup con carrocería</x:v>
      </x:c>
      <x:c r="L202" s="1" t="str">
        <x:v>RT-20260529-R007</x:v>
      </x:c>
      <x:c r="M202" s="1" t="str">
        <x:v>08:08</x:v>
      </x:c>
      <x:c r="N202" s="1" t="str">
        <x:v>08:21</x:v>
      </x:c>
      <x:c r="O202" s="1" t="n">
        <x:v>13</x:v>
      </x:c>
      <x:c r="P202" s="5" t="n">
        <x:f>ROUND(X202+Y202,2)</x:f>
        <x:v>157.96</x:v>
      </x:c>
      <x:c r="Q202" s="5" t="n">
        <x:f>ROUND(P202/Vehiculos!$E$8*Vehiculos!$F$8,2)</x:f>
        <x:v>602.23</x:v>
      </x:c>
      <x:c r="R202" s="1" t="str">
        <x:v>Entregado</x:v>
      </x:c>
      <x:c r="S202" s="1" t="str">
        <x:v>Media</x:v>
      </x:c>
      <x:c r="T202" s="1" t="n">
        <x:v>1</x:v>
      </x:c>
      <x:c r="U202" s="1" t="n">
        <x:v>1</x:v>
      </x:c>
      <x:c r="V202" s="5" t="n">
        <x:v>3001.28</x:v>
      </x:c>
      <x:c r="W202" s="1" t="str">
        <x:v>08:50</x:v>
      </x:c>
      <x:c r="X202" s="1" t="n">
        <x:v>6.96</x:v>
      </x:c>
      <x:c r="Y202" s="1" t="n">
        <x:f>Parametros_Operacion!$B$4*2</x:f>
        <x:v>151</x:v>
      </x:c>
    </x:row>
    <x:row r="203">
      <x:c r="A203" s="1" t="str">
        <x:v>P0066</x:v>
      </x:c>
      <x:c r="B203" s="6" t="n">
        <x:v>46171.350694444445</x:v>
      </x:c>
      <x:c r="C203" s="1" t="str">
        <x:v>C056</x:v>
      </x:c>
      <x:c r="D203" s="1" t="str">
        <x:v>Pulpería Los Amigos</x:v>
      </x:c>
      <x:c r="E203" s="1" t="str">
        <x:v>Arizona</x:v>
      </x:c>
      <x:c r="F203" s="7" t="n">
        <x:v>15.60141629778186</x:v>
      </x:c>
      <x:c r="G203" s="7" t="n">
        <x:v>-87.32913205719288</x:v>
      </x:c>
      <x:c r="H203" s="1" t="str">
        <x:v>R006</x:v>
      </x:c>
      <x:c r="I203" s="1" t="str">
        <x:v>Kevin Flores</x:v>
      </x:c>
      <x:c r="J203" s="1" t="str">
        <x:v>V006</x:v>
      </x:c>
      <x:c r="K203" s="1" t="str">
        <x:v>Pickup con carrocería</x:v>
      </x:c>
      <x:c r="L203" s="1" t="str">
        <x:v>RT-20260529-R006</x:v>
      </x:c>
      <x:c r="M203" s="1" t="str">
        <x:v>08:15</x:v>
      </x:c>
      <x:c r="N203" s="1" t="str">
        <x:v>08:25</x:v>
      </x:c>
      <x:c r="O203" s="1" t="n">
        <x:v>10</x:v>
      </x:c>
      <x:c r="P203" s="5" t="n">
        <x:f>ROUND(X203+Y203,2)</x:f>
        <x:v>78.5</x:v>
      </x:c>
      <x:c r="Q203" s="5" t="n">
        <x:f>ROUND(P203/Vehiculos!$E$7*Vehiculos!$F$7,2)</x:f>
        <x:v>299.28</x:v>
      </x:c>
      <x:c r="R203" s="1" t="str">
        <x:v>Entregado</x:v>
      </x:c>
      <x:c r="S203" s="1" t="str">
        <x:v>Media</x:v>
      </x:c>
      <x:c r="T203" s="1" t="n">
        <x:v>2</x:v>
      </x:c>
      <x:c r="U203" s="1" t="n">
        <x:v>2</x:v>
      </x:c>
      <x:c r="V203" s="5" t="n">
        <x:v>2112.98</x:v>
      </x:c>
      <x:c r="W203" s="1" t="str">
        <x:v>08:50</x:v>
      </x:c>
      <x:c r="X203" s="1" t="n">
        <x:v>6</x:v>
      </x:c>
      <x:c r="Y203" s="1" t="n">
        <x:f>Parametros_Operacion!$B$2*1</x:f>
        <x:v>72.5</x:v>
      </x:c>
    </x:row>
    <x:row r="204">
      <x:c r="A204" s="1" t="str">
        <x:v>P0218</x:v>
      </x:c>
      <x:c r="B204" s="6" t="n">
        <x:v>46171.36875</x:v>
      </x:c>
      <x:c r="C204" s="1" t="str">
        <x:v>C013</x:v>
      </x:c>
      <x:c r="D204" s="1" t="str">
        <x:v>Mercadito Doña Marta</x:v>
      </x:c>
      <x:c r="E204" s="1" t="str">
        <x:v>Tela</x:v>
      </x:c>
      <x:c r="F204" s="7" t="n">
        <x:v>15.75505922402737</x:v>
      </x:c>
      <x:c r="G204" s="7" t="n">
        <x:v>-87.47373987089004</x:v>
      </x:c>
      <x:c r="H204" s="1" t="str">
        <x:v>R002</x:v>
      </x:c>
      <x:c r="I204" s="1" t="str">
        <x:v>Ana López</x:v>
      </x:c>
      <x:c r="J204" s="1" t="str">
        <x:v>V002</x:v>
      </x:c>
      <x:c r="K204" s="1" t="str">
        <x:v>Pickup con carrocería</x:v>
      </x:c>
      <x:c r="L204" s="1" t="str">
        <x:v>RT-20260529-R002</x:v>
      </x:c>
      <x:c r="M204" s="1" t="str">
        <x:v>08:38</x:v>
      </x:c>
      <x:c r="N204" s="1" t="str">
        <x:v>08:51</x:v>
      </x:c>
      <x:c r="O204" s="1" t="n">
        <x:v>13</x:v>
      </x:c>
      <x:c r="P204" s="5" t="n">
        <x:f>ROUND(X204+Y204,2)</x:f>
        <x:v>212.94</x:v>
      </x:c>
      <x:c r="Q204" s="5" t="n">
        <x:f>ROUND(P204/Vehiculos!$E$3*Vehiculos!$F$3,2)</x:f>
        <x:v>773.18</x:v>
      </x:c>
      <x:c r="R204" s="1" t="str">
        <x:v>Retrasado</x:v>
      </x:c>
      <x:c r="S204" s="1" t="str">
        <x:v>Media</x:v>
      </x:c>
      <x:c r="T204" s="1" t="n">
        <x:v>1</x:v>
      </x:c>
      <x:c r="U204" s="1" t="n">
        <x:v>1</x:v>
      </x:c>
      <x:c r="V204" s="5" t="n">
        <x:v>793.45</x:v>
      </x:c>
      <x:c r="W204" s="1" t="str">
        <x:v>08:50</x:v>
      </x:c>
      <x:c r="X204" s="1" t="n">
        <x:v>8.34</x:v>
      </x:c>
      <x:c r="Y204" s="1" t="n">
        <x:f>Parametros_Operacion!$B$9*2</x:f>
        <x:v>204.6</x:v>
      </x:c>
    </x:row>
    <x:row r="205">
      <x:c r="A205" s="1" t="str">
        <x:v>P0223</x:v>
      </x:c>
      <x:c r="B205" s="6" t="n">
        <x:v>46172.28055555555</x:v>
      </x:c>
      <x:c r="C205" s="1" t="str">
        <x:v>C043</x:v>
      </x:c>
      <x:c r="D205" s="1" t="str">
        <x:v>Supermercado Rafael</x:v>
      </x:c>
      <x:c r="E205" s="1" t="str">
        <x:v>La Ceiba</x:v>
      </x:c>
      <x:c r="F205" s="7" t="n">
        <x:v>15.74117500406553</x:v>
      </x:c>
      <x:c r="G205" s="7" t="n">
        <x:v>-86.76923431354687</x:v>
      </x:c>
      <x:c r="H205" s="1" t="str">
        <x:v>R001</x:v>
      </x:c>
      <x:c r="I205" s="1" t="str">
        <x:v>Carlos Mejía</x:v>
      </x:c>
      <x:c r="J205" s="1" t="str">
        <x:v>V001</x:v>
      </x:c>
      <x:c r="K205" s="1" t="str">
        <x:v>Pickup con carrocería</x:v>
      </x:c>
      <x:c r="L205" s="1" t="str">
        <x:v>RT-20260530-R001</x:v>
      </x:c>
      <x:c r="M205" s="1" t="str">
        <x:v>06:30</x:v>
      </x:c>
      <x:c r="N205" s="1" t="str">
        <x:v>06:44</x:v>
      </x:c>
      <x:c r="O205" s="1" t="n">
        <x:v>14</x:v>
      </x:c>
      <x:c r="P205" s="5" t="n">
        <x:f>ROUND(X205+Y205,2)</x:f>
        <x:v>10.34</x:v>
      </x:c>
      <x:c r="Q205" s="5" t="n">
        <x:f>ROUND(P205/Vehiculos!$E$2*Vehiculos!$F$2,2)</x:f>
        <x:v>35.84</x:v>
      </x:c>
      <x:c r="R205" s="1" t="str">
        <x:v>Entregado</x:v>
      </x:c>
      <x:c r="S205" s="1" t="str">
        <x:v>Media</x:v>
      </x:c>
      <x:c r="T205" s="1" t="n">
        <x:v>1</x:v>
      </x:c>
      <x:c r="U205" s="1" t="n">
        <x:v>1</x:v>
      </x:c>
      <x:c r="V205" s="5" t="n">
        <x:v>1553.68</x:v>
      </x:c>
      <x:c r="W205" s="1" t="str">
        <x:v>08:50</x:v>
      </x:c>
      <x:c r="X205" s="1" t="n">
        <x:v>10.34</x:v>
      </x:c>
      <x:c r="Y205" s="1" t="n">
        <x:f>Parametros_Operacion!$B$6*0</x:f>
        <x:v>0</x:v>
      </x:c>
    </x:row>
    <x:row r="206">
      <x:c r="A206" s="1" t="str">
        <x:v>P0224</x:v>
      </x:c>
      <x:c r="B206" s="6" t="n">
        <x:v>46172.30625</x:v>
      </x:c>
      <x:c r="C206" s="1" t="str">
        <x:v>C014</x:v>
      </x:c>
      <x:c r="D206" s="1" t="str">
        <x:v>Abarrotería San Miguel</x:v>
      </x:c>
      <x:c r="E206" s="1" t="str">
        <x:v>Jutiapa</x:v>
      </x:c>
      <x:c r="F206" s="7" t="n">
        <x:v>15.65208288513706</x:v>
      </x:c>
      <x:c r="G206" s="7" t="n">
        <x:v>-86.23779503586708</x:v>
      </x:c>
      <x:c r="H206" s="1" t="str">
        <x:v>R003</x:v>
      </x:c>
      <x:c r="I206" s="1" t="str">
        <x:v>Luis Ramírez</x:v>
      </x:c>
      <x:c r="J206" s="1" t="str">
        <x:v>V003</x:v>
      </x:c>
      <x:c r="K206" s="1" t="str">
        <x:v>Pickup con carrocería</x:v>
      </x:c>
      <x:c r="L206" s="1" t="str">
        <x:v>RT-20260530-R003</x:v>
      </x:c>
      <x:c r="M206" s="1" t="str">
        <x:v>07:10</x:v>
      </x:c>
      <x:c r="N206" s="1" t="str">
        <x:v>07:21</x:v>
      </x:c>
      <x:c r="O206" s="1" t="n">
        <x:v>11</x:v>
      </x:c>
      <x:c r="P206" s="5" t="n">
        <x:f>ROUND(X206+Y206,2)</x:f>
        <x:v>67.46</x:v>
      </x:c>
      <x:c r="Q206" s="5" t="n">
        <x:f>ROUND(P206/Vehiculos!$E$4*Vehiculos!$F$4,2)</x:f>
        <x:v>257.19</x:v>
      </x:c>
      <x:c r="R206" s="1" t="str">
        <x:v>Entregado</x:v>
      </x:c>
      <x:c r="S206" s="1" t="str">
        <x:v>Media</x:v>
      </x:c>
      <x:c r="T206" s="1" t="n">
        <x:v>1</x:v>
      </x:c>
      <x:c r="U206" s="1" t="n">
        <x:v>1</x:v>
      </x:c>
      <x:c r="V206" s="5" t="n">
        <x:v>3863.04</x:v>
      </x:c>
      <x:c r="W206" s="1" t="str">
        <x:v>08:50</x:v>
      </x:c>
      <x:c r="X206" s="1" t="n">
        <x:v>4.66</x:v>
      </x:c>
      <x:c r="Y206" s="1" t="n">
        <x:f>Parametros_Operacion!$B$5*2</x:f>
        <x:v>62.8</x:v>
      </x:c>
    </x:row>
    <x:row r="207">
      <x:c r="A207" s="1" t="str">
        <x:v>P0112</x:v>
      </x:c>
      <x:c r="B207" s="6" t="n">
        <x:v>46172.3125</x:v>
      </x:c>
      <x:c r="C207" s="1" t="str">
        <x:v>C044</x:v>
      </x:c>
      <x:c r="D207" s="1" t="str">
        <x:v>Comercial Rivera</x:v>
      </x:c>
      <x:c r="E207" s="1" t="str">
        <x:v>La Masica</x:v>
      </x:c>
      <x:c r="F207" s="7" t="n">
        <x:v>15.6264976829468</x:v>
      </x:c>
      <x:c r="G207" s="7" t="n">
        <x:v>-86.69902048426763</x:v>
      </x:c>
      <x:c r="H207" s="1" t="str">
        <x:v>R004</x:v>
      </x:c>
      <x:c r="I207" s="1" t="str">
        <x:v>Daniela Cruz</x:v>
      </x:c>
      <x:c r="J207" s="1" t="str">
        <x:v>V004</x:v>
      </x:c>
      <x:c r="K207" s="1" t="str">
        <x:v>Pickup con carrocería</x:v>
      </x:c>
      <x:c r="L207" s="1" t="str">
        <x:v>RT-20260530-R004</x:v>
      </x:c>
      <x:c r="M207" s="1" t="str">
        <x:v>07:20</x:v>
      </x:c>
      <x:c r="N207" s="1" t="str">
        <x:v>07:30</x:v>
      </x:c>
      <x:c r="O207" s="1" t="n">
        <x:v>10</x:v>
      </x:c>
      <x:c r="P207" s="5" t="n">
        <x:f>ROUND(X207+Y207,2)</x:f>
        <x:v>42.58</x:v>
      </x:c>
      <x:c r="Q207" s="5" t="n">
        <x:f>ROUND(P207/Vehiculos!$E$5*Vehiculos!$F$5,2)</x:f>
        <x:v>154.61</x:v>
      </x:c>
      <x:c r="R207" s="1" t="str">
        <x:v>Entregado</x:v>
      </x:c>
      <x:c r="S207" s="1" t="str">
        <x:v>Media</x:v>
      </x:c>
      <x:c r="T207" s="1" t="n">
        <x:v>1</x:v>
      </x:c>
      <x:c r="U207" s="1" t="n">
        <x:v>1</x:v>
      </x:c>
      <x:c r="V207" s="5" t="n">
        <x:v>3186.33</x:v>
      </x:c>
      <x:c r="W207" s="1" t="str">
        <x:v>08:50</x:v>
      </x:c>
      <x:c r="X207" s="1" t="n">
        <x:v>1.38</x:v>
      </x:c>
      <x:c r="Y207" s="1" t="n">
        <x:f>Parametros_Operacion!$B$7*1</x:f>
        <x:v>41.2</x:v>
      </x:c>
    </x:row>
    <x:row r="208">
      <x:c r="A208" s="1" t="str">
        <x:v>P0195</x:v>
      </x:c>
      <x:c r="B208" s="6" t="n">
        <x:v>46172.322916666664</x:v>
      </x:c>
      <x:c r="C208" s="1" t="str">
        <x:v>C004</x:v>
      </x:c>
      <x:c r="D208" s="1" t="str">
        <x:v>Comercial Rivera</x:v>
      </x:c>
      <x:c r="E208" s="1" t="str">
        <x:v>La Masica</x:v>
      </x:c>
      <x:c r="F208" s="7" t="n">
        <x:v>15.60892338902915</x:v>
      </x:c>
      <x:c r="G208" s="7" t="n">
        <x:v>-86.73871508090915</x:v>
      </x:c>
      <x:c r="H208" s="1" t="str">
        <x:v>R004</x:v>
      </x:c>
      <x:c r="I208" s="1" t="str">
        <x:v>Daniela Cruz</x:v>
      </x:c>
      <x:c r="J208" s="1" t="str">
        <x:v>V004</x:v>
      </x:c>
      <x:c r="K208" s="1" t="str">
        <x:v>Pickup con carrocería</x:v>
      </x:c>
      <x:c r="L208" s="1" t="str">
        <x:v>RT-20260530-R004</x:v>
      </x:c>
      <x:c r="M208" s="1" t="str">
        <x:v>07:30</x:v>
      </x:c>
      <x:c r="N208" s="1" t="str">
        <x:v>07:45</x:v>
      </x:c>
      <x:c r="O208" s="1" t="n">
        <x:v>15</x:v>
      </x:c>
      <x:c r="P208" s="5" t="n">
        <x:f>ROUND(X208+Y208,2)</x:f>
        <x:v>51.63</x:v>
      </x:c>
      <x:c r="Q208" s="5" t="n">
        <x:f>ROUND(P208/Vehiculos!$E$5*Vehiculos!$F$5,2)</x:f>
        <x:v>187.47</x:v>
      </x:c>
      <x:c r="R208" s="1" t="str">
        <x:v>Entregado</x:v>
      </x:c>
      <x:c r="S208" s="1" t="str">
        <x:v>Media</x:v>
      </x:c>
      <x:c r="T208" s="1" t="n">
        <x:v>2</x:v>
      </x:c>
      <x:c r="U208" s="1" t="n">
        <x:v>2</x:v>
      </x:c>
      <x:c r="V208" s="5" t="n">
        <x:v>4690.4</x:v>
      </x:c>
      <x:c r="W208" s="1" t="str">
        <x:v>08:50</x:v>
      </x:c>
      <x:c r="X208" s="1" t="n">
        <x:v>10.43</x:v>
      </x:c>
      <x:c r="Y208" s="1" t="n">
        <x:f>Parametros_Operacion!$B$7*1</x:f>
        <x:v>41.2</x:v>
      </x:c>
    </x:row>
    <x:row r="209">
      <x:c r="A209" s="1" t="str">
        <x:v>P0051</x:v>
      </x:c>
      <x:c r="B209" s="6" t="n">
        <x:v>46172.34722222222</x:v>
      </x:c>
      <x:c r="C209" s="1" t="str">
        <x:v>C045</x:v>
      </x:c>
      <x:c r="D209" s="1" t="str">
        <x:v>Mini Market San José</x:v>
      </x:c>
      <x:c r="E209" s="1" t="str">
        <x:v>Esparta</x:v>
      </x:c>
      <x:c r="F209" s="7" t="n">
        <x:v>15.63866963202749</x:v>
      </x:c>
      <x:c r="G209" s="7" t="n">
        <x:v>-87.28674513285189</x:v>
      </x:c>
      <x:c r="H209" s="1" t="str">
        <x:v>R007</x:v>
      </x:c>
      <x:c r="I209" s="1" t="str">
        <x:v>María Hernández</x:v>
      </x:c>
      <x:c r="J209" s="1" t="str">
        <x:v>V007</x:v>
      </x:c>
      <x:c r="K209" s="1" t="str">
        <x:v>Pickup con carrocería</x:v>
      </x:c>
      <x:c r="L209" s="1" t="str">
        <x:v>RT-20260530-R007</x:v>
      </x:c>
      <x:c r="M209" s="1" t="str">
        <x:v>08:08</x:v>
      </x:c>
      <x:c r="N209" s="1" t="str">
        <x:v>08:20</x:v>
      </x:c>
      <x:c r="O209" s="1" t="n">
        <x:v>12</x:v>
      </x:c>
      <x:c r="P209" s="5" t="n">
        <x:f>ROUND(X209+Y209,2)</x:f>
        <x:v>78.79</x:v>
      </x:c>
      <x:c r="Q209" s="5" t="n">
        <x:f>ROUND(P209/Vehiculos!$E$8*Vehiculos!$F$8,2)</x:f>
        <x:v>300.39</x:v>
      </x:c>
      <x:c r="R209" s="1" t="str">
        <x:v>Entregado</x:v>
      </x:c>
      <x:c r="S209" s="1" t="str">
        <x:v>Media</x:v>
      </x:c>
      <x:c r="T209" s="1" t="n">
        <x:v>1</x:v>
      </x:c>
      <x:c r="U209" s="1" t="n">
        <x:v>1</x:v>
      </x:c>
      <x:c r="V209" s="5" t="n">
        <x:v>2820.22</x:v>
      </x:c>
      <x:c r="W209" s="1" t="str">
        <x:v>08:50</x:v>
      </x:c>
      <x:c r="X209" s="1" t="n">
        <x:v>3.29</x:v>
      </x:c>
      <x:c r="Y209" s="1" t="n">
        <x:f>Parametros_Operacion!$B$4*1</x:f>
        <x:v>75.5</x:v>
      </x:c>
    </x:row>
    <x:row r="210">
      <x:c r="A210" s="1" t="str">
        <x:v>P0213</x:v>
      </x:c>
      <x:c r="B210" s="6" t="n">
        <x:v>46172.35833333333</x:v>
      </x:c>
      <x:c r="C210" s="1" t="str">
        <x:v>C029</x:v>
      </x:c>
      <x:c r="D210" s="1" t="str">
        <x:v>Mini Súper El Triunfo</x:v>
      </x:c>
      <x:c r="E210" s="1" t="str">
        <x:v>Esparta</x:v>
      </x:c>
      <x:c r="F210" s="7" t="n">
        <x:v>15.67954455979815</x:v>
      </x:c>
      <x:c r="G210" s="7" t="n">
        <x:v>-87.27057452130482</x:v>
      </x:c>
      <x:c r="H210" s="1" t="str">
        <x:v>R007</x:v>
      </x:c>
      <x:c r="I210" s="1" t="str">
        <x:v>María Hernández</x:v>
      </x:c>
      <x:c r="J210" s="1" t="str">
        <x:v>V007</x:v>
      </x:c>
      <x:c r="K210" s="1" t="str">
        <x:v>Pickup con carrocería</x:v>
      </x:c>
      <x:c r="L210" s="1" t="str">
        <x:v>RT-20260530-R007</x:v>
      </x:c>
      <x:c r="M210" s="1" t="str">
        <x:v>08:20</x:v>
      </x:c>
      <x:c r="N210" s="1" t="str">
        <x:v>08:36</x:v>
      </x:c>
      <x:c r="O210" s="1" t="n">
        <x:v>16</x:v>
      </x:c>
      <x:c r="P210" s="5" t="n">
        <x:f>ROUND(X210+Y210,2)</x:f>
        <x:v>85.06</x:v>
      </x:c>
      <x:c r="Q210" s="5" t="n">
        <x:f>ROUND(P210/Vehiculos!$E$8*Vehiculos!$F$8,2)</x:f>
        <x:v>324.29</x:v>
      </x:c>
      <x:c r="R210" s="1" t="str">
        <x:v>Entregado</x:v>
      </x:c>
      <x:c r="S210" s="1" t="str">
        <x:v>Media</x:v>
      </x:c>
      <x:c r="T210" s="1" t="n">
        <x:v>2</x:v>
      </x:c>
      <x:c r="U210" s="1" t="n">
        <x:v>2</x:v>
      </x:c>
      <x:c r="V210" s="5" t="n">
        <x:v>2732.23</x:v>
      </x:c>
      <x:c r="W210" s="1" t="str">
        <x:v>08:50</x:v>
      </x:c>
      <x:c r="X210" s="1" t="n">
        <x:v>9.56</x:v>
      </x:c>
      <x:c r="Y210" s="1" t="n">
        <x:f>Parametros_Operacion!$B$4*1</x:f>
        <x:v>75.5</x:v>
      </x:c>
    </x:row>
    <x:row r="211">
      <x:c r="A211" s="1" t="str">
        <x:v>P0227</x:v>
      </x:c>
      <x:c r="B211" s="6" t="n">
        <x:v>46173.31458333333</x:v>
      </x:c>
      <x:c r="C211" s="1" t="str">
        <x:v>C001</x:v>
      </x:c>
      <x:c r="D211" s="1" t="str">
        <x:v>Pulpería Oseguera</x:v>
      </x:c>
      <x:c r="E211" s="1" t="str">
        <x:v>La Masica</x:v>
      </x:c>
      <x:c r="F211" s="7" t="n">
        <x:v>15.62413862767416</x:v>
      </x:c>
      <x:c r="G211" s="7" t="n">
        <x:v>-86.73722407175156</x:v>
      </x:c>
      <x:c r="H211" s="1" t="str">
        <x:v>R004</x:v>
      </x:c>
      <x:c r="I211" s="1" t="str">
        <x:v>Daniela Cruz</x:v>
      </x:c>
      <x:c r="J211" s="1" t="str">
        <x:v>V004</x:v>
      </x:c>
      <x:c r="K211" s="1" t="str">
        <x:v>Pickup con carrocería</x:v>
      </x:c>
      <x:c r="L211" s="1" t="str">
        <x:v>RT-20260531-R004</x:v>
      </x:c>
      <x:c r="M211" s="1" t="str">
        <x:v>07:20</x:v>
      </x:c>
      <x:c r="N211" s="1" t="str">
        <x:v>07:33</x:v>
      </x:c>
      <x:c r="O211" s="1" t="n">
        <x:v>13</x:v>
      </x:c>
      <x:c r="P211" s="5" t="n">
        <x:f>ROUND(X211+Y211,2)</x:f>
        <x:v>44.94</x:v>
      </x:c>
      <x:c r="Q211" s="5" t="n">
        <x:f>ROUND(P211/Vehiculos!$E$5*Vehiculos!$F$5,2)</x:f>
        <x:v>163.18</x:v>
      </x:c>
      <x:c r="R211" s="1" t="str">
        <x:v>Entregado</x:v>
      </x:c>
      <x:c r="S211" s="1" t="str">
        <x:v>Media</x:v>
      </x:c>
      <x:c r="T211" s="1" t="n">
        <x:v>1</x:v>
      </x:c>
      <x:c r="U211" s="1" t="n">
        <x:v>1</x:v>
      </x:c>
      <x:c r="V211" s="5" t="n">
        <x:v>2702.6</x:v>
      </x:c>
      <x:c r="W211" s="1" t="str">
        <x:v>08:50</x:v>
      </x:c>
      <x:c r="X211" s="1" t="n">
        <x:v>3.74</x:v>
      </x:c>
      <x:c r="Y211" s="1" t="n">
        <x:f>Parametros_Operacion!$B$7*1</x:f>
        <x:v>41.2</x:v>
      </x:c>
    </x:row>
    <x:row r="212">
      <x:c r="A212" s="1" t="str">
        <x:v>P0201</x:v>
      </x:c>
      <x:c r="B212" s="6" t="n">
        <x:v>46173.32708333333</x:v>
      </x:c>
      <x:c r="C212" s="1" t="str">
        <x:v>C022</x:v>
      </x:c>
      <x:c r="D212" s="1" t="str">
        <x:v>Mini Súper La Bendición</x:v>
      </x:c>
      <x:c r="E212" s="1" t="str">
        <x:v>La Masica</x:v>
      </x:c>
      <x:c r="F212" s="7" t="n">
        <x:v>15.64119141911907</x:v>
      </x:c>
      <x:c r="G212" s="7" t="n">
        <x:v>-86.68050338819044</x:v>
      </x:c>
      <x:c r="H212" s="1" t="str">
        <x:v>R004</x:v>
      </x:c>
      <x:c r="I212" s="1" t="str">
        <x:v>Daniela Cruz</x:v>
      </x:c>
      <x:c r="J212" s="1" t="str">
        <x:v>V004</x:v>
      </x:c>
      <x:c r="K212" s="1" t="str">
        <x:v>Pickup con carrocería</x:v>
      </x:c>
      <x:c r="L212" s="1" t="str">
        <x:v>RT-20260531-R004</x:v>
      </x:c>
      <x:c r="M212" s="1" t="str">
        <x:v>07:33</x:v>
      </x:c>
      <x:c r="N212" s="1" t="str">
        <x:v>07:51</x:v>
      </x:c>
      <x:c r="O212" s="1" t="n">
        <x:v>18</x:v>
      </x:c>
      <x:c r="P212" s="5" t="n">
        <x:f>ROUND(X212+Y212,2)</x:f>
        <x:v>7.95</x:v>
      </x:c>
      <x:c r="Q212" s="5" t="n">
        <x:f>ROUND(P212/Vehiculos!$E$5*Vehiculos!$F$5,2)</x:f>
        <x:v>28.87</x:v>
      </x:c>
      <x:c r="R212" s="1" t="str">
        <x:v>Entregado</x:v>
      </x:c>
      <x:c r="S212" s="1" t="str">
        <x:v>Media</x:v>
      </x:c>
      <x:c r="T212" s="1" t="n">
        <x:v>2</x:v>
      </x:c>
      <x:c r="U212" s="1" t="n">
        <x:v>2</x:v>
      </x:c>
      <x:c r="V212" s="5" t="n">
        <x:v>3093.34</x:v>
      </x:c>
      <x:c r="W212" s="1" t="str">
        <x:v>08:50</x:v>
      </x:c>
      <x:c r="X212" s="1" t="n">
        <x:v>7.95</x:v>
      </x:c>
      <x:c r="Y212" s="1" t="n">
        <x:f>Parametros_Operacion!$B$7*0</x:f>
        <x:v>0</x:v>
      </x:c>
    </x:row>
    <x:row r="213">
      <x:c r="A213" s="1" t="str">
        <x:v>P0219</x:v>
      </x:c>
      <x:c r="B213" s="6" t="n">
        <x:v>46173.33541666667</x:v>
      </x:c>
      <x:c r="C213" s="1" t="str">
        <x:v>C047</x:v>
      </x:c>
      <x:c r="D213" s="1" t="str">
        <x:v>Distribuidora El Faro</x:v>
      </x:c>
      <x:c r="E213" s="1" t="str">
        <x:v>La Masica</x:v>
      </x:c>
      <x:c r="F213" s="7" t="n">
        <x:v>15.62139902522154</x:v>
      </x:c>
      <x:c r="G213" s="7" t="n">
        <x:v>-86.69038794424819</x:v>
      </x:c>
      <x:c r="H213" s="1" t="str">
        <x:v>R004</x:v>
      </x:c>
      <x:c r="I213" s="1" t="str">
        <x:v>Daniela Cruz</x:v>
      </x:c>
      <x:c r="J213" s="1" t="str">
        <x:v>V004</x:v>
      </x:c>
      <x:c r="K213" s="1" t="str">
        <x:v>Pickup con carrocería</x:v>
      </x:c>
      <x:c r="L213" s="1" t="str">
        <x:v>RT-20260531-R004</x:v>
      </x:c>
      <x:c r="M213" s="1" t="str">
        <x:v>07:51</x:v>
      </x:c>
      <x:c r="N213" s="1" t="str">
        <x:v>08:03</x:v>
      </x:c>
      <x:c r="O213" s="1" t="n">
        <x:v>12</x:v>
      </x:c>
      <x:c r="P213" s="5" t="n">
        <x:f>ROUND(X213+Y213,2)</x:f>
        <x:v>46.86</x:v>
      </x:c>
      <x:c r="Q213" s="5" t="n">
        <x:f>ROUND(P213/Vehiculos!$E$5*Vehiculos!$F$5,2)</x:f>
        <x:v>170.15</x:v>
      </x:c>
      <x:c r="R213" s="1" t="str">
        <x:v>Entregado</x:v>
      </x:c>
      <x:c r="S213" s="1" t="str">
        <x:v>Media</x:v>
      </x:c>
      <x:c r="T213" s="1" t="n">
        <x:v>3</x:v>
      </x:c>
      <x:c r="U213" s="1" t="n">
        <x:v>3</x:v>
      </x:c>
      <x:c r="V213" s="5" t="n">
        <x:v>742.03</x:v>
      </x:c>
      <x:c r="W213" s="1" t="str">
        <x:v>08:50</x:v>
      </x:c>
      <x:c r="X213" s="1" t="n">
        <x:v>5.66</x:v>
      </x:c>
      <x:c r="Y213" s="1" t="n">
        <x:f>Parametros_Operacion!$B$7*1</x:f>
        <x:v>41.2</x:v>
      </x:c>
    </x:row>
    <x:row r="214">
      <x:c r="A214" s="1" t="str">
        <x:v>P0216</x:v>
      </x:c>
      <x:c r="B214" s="6" t="n">
        <x:v>46173.368055555555</x:v>
      </x:c>
      <x:c r="C214" s="1" t="str">
        <x:v>C024</x:v>
      </x:c>
      <x:c r="D214" s="1" t="str">
        <x:v>Comercial Rivera</x:v>
      </x:c>
      <x:c r="E214" s="1" t="str">
        <x:v>Tela</x:v>
      </x:c>
      <x:c r="F214" s="7" t="n">
        <x:v>15.774439556803</x:v>
      </x:c>
      <x:c r="G214" s="7" t="n">
        <x:v>-87.47534140483269</x:v>
      </x:c>
      <x:c r="H214" s="1" t="str">
        <x:v>R002</x:v>
      </x:c>
      <x:c r="I214" s="1" t="str">
        <x:v>Ana López</x:v>
      </x:c>
      <x:c r="J214" s="1" t="str">
        <x:v>V002</x:v>
      </x:c>
      <x:c r="K214" s="1" t="str">
        <x:v>Pickup con carrocería</x:v>
      </x:c>
      <x:c r="L214" s="1" t="str">
        <x:v>RT-20260531-R002</x:v>
      </x:c>
      <x:c r="M214" s="1" t="str">
        <x:v>08:38</x:v>
      </x:c>
      <x:c r="N214" s="1" t="str">
        <x:v>08:50</x:v>
      </x:c>
      <x:c r="O214" s="1" t="n">
        <x:v>12</x:v>
      </x:c>
      <x:c r="P214" s="5" t="n">
        <x:f>ROUND(X214+Y214,2)</x:f>
        <x:v>210.46</x:v>
      </x:c>
      <x:c r="Q214" s="5" t="n">
        <x:f>ROUND(P214/Vehiculos!$E$3*Vehiculos!$F$3,2)</x:f>
        <x:v>764.18</x:v>
      </x:c>
      <x:c r="R214" s="1" t="str">
        <x:v>Entregado</x:v>
      </x:c>
      <x:c r="S214" s="1" t="str">
        <x:v>Media</x:v>
      </x:c>
      <x:c r="T214" s="1" t="n">
        <x:v>1</x:v>
      </x:c>
      <x:c r="U214" s="1" t="n">
        <x:v>1</x:v>
      </x:c>
      <x:c r="V214" s="5" t="n">
        <x:v>4196.33</x:v>
      </x:c>
      <x:c r="W214" s="1" t="str">
        <x:v>08:50</x:v>
      </x:c>
      <x:c r="X214" s="1" t="n">
        <x:v>5.86</x:v>
      </x:c>
      <x:c r="Y214" s="1" t="n">
        <x:f>Parametros_Operacion!$B$9*2</x:f>
        <x:v>204.6</x:v>
      </x:c>
    </x:row>
    <x:row r="215">
      <x:c r="A215" s="1" t="str">
        <x:v>P0230</x:v>
      </x:c>
      <x:c r="B215" s="6" t="n">
        <x:v>46174.27847222222</x:v>
      </x:c>
      <x:c r="C215" s="1" t="str">
        <x:v>C027</x:v>
      </x:c>
      <x:c r="D215" s="1" t="str">
        <x:v>Distribuidora El Faro</x:v>
      </x:c>
      <x:c r="E215" s="1" t="str">
        <x:v>La Ceiba</x:v>
      </x:c>
      <x:c r="F215" s="7" t="n">
        <x:v>15.76803685728729</x:v>
      </x:c>
      <x:c r="G215" s="7" t="n">
        <x:v>-86.77768801221002</x:v>
      </x:c>
      <x:c r="H215" s="1" t="str">
        <x:v>R001</x:v>
      </x:c>
      <x:c r="I215" s="1" t="str">
        <x:v>Carlos Mejía</x:v>
      </x:c>
      <x:c r="J215" s="1" t="str">
        <x:v>V001</x:v>
      </x:c>
      <x:c r="K215" s="1" t="str">
        <x:v>Pickup con carrocería</x:v>
      </x:c>
      <x:c r="L215" s="1" t="str">
        <x:v>RT-20260601-R001</x:v>
      </x:c>
      <x:c r="M215" s="1" t="str">
        <x:v>06:30</x:v>
      </x:c>
      <x:c r="N215" s="1" t="str">
        <x:v>06:41</x:v>
      </x:c>
      <x:c r="O215" s="1" t="n">
        <x:v>11</x:v>
      </x:c>
      <x:c r="P215" s="5" t="n">
        <x:f>ROUND(X215+Y215,2)</x:f>
        <x:v>2.6</x:v>
      </x:c>
      <x:c r="Q215" s="5" t="n">
        <x:f>ROUND(P215/Vehiculos!$E$2*Vehiculos!$F$2,2)</x:f>
        <x:v>9.01</x:v>
      </x:c>
      <x:c r="R215" s="1" t="str">
        <x:v>Entregado</x:v>
      </x:c>
      <x:c r="S215" s="1" t="str">
        <x:v>Media</x:v>
      </x:c>
      <x:c r="T215" s="1" t="n">
        <x:v>1</x:v>
      </x:c>
      <x:c r="U215" s="1" t="n">
        <x:v>1</x:v>
      </x:c>
      <x:c r="V215" s="5" t="n">
        <x:v>5609.82</x:v>
      </x:c>
      <x:c r="W215" s="1" t="str">
        <x:v>08:50</x:v>
      </x:c>
      <x:c r="X215" s="1" t="n">
        <x:v>2.6</x:v>
      </x:c>
      <x:c r="Y215" s="1" t="n">
        <x:f>Parametros_Operacion!$B$6*0</x:f>
        <x:v>0</x:v>
      </x:c>
    </x:row>
    <x:row r="216">
      <x:c r="A216" s="1" t="str">
        <x:v>P0069</x:v>
      </x:c>
      <x:c r="B216" s="6" t="n">
        <x:v>46174.28958333333</x:v>
      </x:c>
      <x:c r="C216" s="1" t="str">
        <x:v>C053</x:v>
      </x:c>
      <x:c r="D216" s="1" t="str">
        <x:v>Mercadito Doña Marta</x:v>
      </x:c>
      <x:c r="E216" s="1" t="str">
        <x:v>La Ceiba</x:v>
      </x:c>
      <x:c r="F216" s="7" t="n">
        <x:v>15.74017612525048</x:v>
      </x:c>
      <x:c r="G216" s="7" t="n">
        <x:v>-86.8181117726974</x:v>
      </x:c>
      <x:c r="H216" s="1" t="str">
        <x:v>R001</x:v>
      </x:c>
      <x:c r="I216" s="1" t="str">
        <x:v>Carlos Mejía</x:v>
      </x:c>
      <x:c r="J216" s="1" t="str">
        <x:v>V001</x:v>
      </x:c>
      <x:c r="K216" s="1" t="str">
        <x:v>Pickup con carrocería</x:v>
      </x:c>
      <x:c r="L216" s="1" t="str">
        <x:v>RT-20260601-R001</x:v>
      </x:c>
      <x:c r="M216" s="1" t="str">
        <x:v>06:41</x:v>
      </x:c>
      <x:c r="N216" s="1" t="str">
        <x:v>06:57</x:v>
      </x:c>
      <x:c r="O216" s="1" t="n">
        <x:v>16</x:v>
      </x:c>
      <x:c r="P216" s="5" t="n">
        <x:f>ROUND(X216+Y216,2)</x:f>
        <x:v>11.31</x:v>
      </x:c>
      <x:c r="Q216" s="5" t="n">
        <x:f>ROUND(P216/Vehiculos!$E$2*Vehiculos!$F$2,2)</x:f>
        <x:v>39.2</x:v>
      </x:c>
      <x:c r="R216" s="1" t="str">
        <x:v>Entregado</x:v>
      </x:c>
      <x:c r="S216" s="1" t="str">
        <x:v>Baja</x:v>
      </x:c>
      <x:c r="T216" s="1" t="n">
        <x:v>2</x:v>
      </x:c>
      <x:c r="U216" s="1" t="n">
        <x:v>2</x:v>
      </x:c>
      <x:c r="V216" s="5" t="n">
        <x:v>4677.39</x:v>
      </x:c>
      <x:c r="W216" s="1" t="str">
        <x:v>09:30</x:v>
      </x:c>
      <x:c r="X216" s="1" t="n">
        <x:v>11.31</x:v>
      </x:c>
      <x:c r="Y216" s="1" t="n">
        <x:f>Parametros_Operacion!$B$6*0</x:f>
        <x:v>0</x:v>
      </x:c>
    </x:row>
    <x:row r="217">
      <x:c r="A217" s="1" t="str">
        <x:v>P0220</x:v>
      </x:c>
      <x:c r="B217" s="6" t="n">
        <x:v>46174.30902777778</x:v>
      </x:c>
      <x:c r="C217" s="1" t="str">
        <x:v>C006</x:v>
      </x:c>
      <x:c r="D217" s="1" t="str">
        <x:v>Abarrotería El Centro</x:v>
      </x:c>
      <x:c r="E217" s="1" t="str">
        <x:v>Jutiapa</x:v>
      </x:c>
      <x:c r="F217" s="7" t="n">
        <x:v>15.69621823719406</x:v>
      </x:c>
      <x:c r="G217" s="7" t="n">
        <x:v>-86.1982096577805</x:v>
      </x:c>
      <x:c r="H217" s="1" t="str">
        <x:v>R003</x:v>
      </x:c>
      <x:c r="I217" s="1" t="str">
        <x:v>Luis Ramírez</x:v>
      </x:c>
      <x:c r="J217" s="1" t="str">
        <x:v>V003</x:v>
      </x:c>
      <x:c r="K217" s="1" t="str">
        <x:v>Pickup con carrocería</x:v>
      </x:c>
      <x:c r="L217" s="1" t="str">
        <x:v>RT-20260601-R003</x:v>
      </x:c>
      <x:c r="M217" s="1" t="str">
        <x:v>07:10</x:v>
      </x:c>
      <x:c r="N217" s="1" t="str">
        <x:v>07:25</x:v>
      </x:c>
      <x:c r="O217" s="1" t="n">
        <x:v>15</x:v>
      </x:c>
      <x:c r="P217" s="5" t="n">
        <x:f>ROUND(X217+Y217,2)</x:f>
        <x:v>74.54</x:v>
      </x:c>
      <x:c r="Q217" s="5" t="n">
        <x:f>ROUND(P217/Vehiculos!$E$4*Vehiculos!$F$4,2)</x:f>
        <x:v>284.19</x:v>
      </x:c>
      <x:c r="R217" s="1" t="str">
        <x:v>Entregado</x:v>
      </x:c>
      <x:c r="S217" s="1" t="str">
        <x:v>Media</x:v>
      </x:c>
      <x:c r="T217" s="1" t="n">
        <x:v>1</x:v>
      </x:c>
      <x:c r="U217" s="1" t="n">
        <x:v>1</x:v>
      </x:c>
      <x:c r="V217" s="5" t="n">
        <x:v>3066.07</x:v>
      </x:c>
      <x:c r="W217" s="1" t="str">
        <x:v>08:50</x:v>
      </x:c>
      <x:c r="X217" s="1" t="n">
        <x:v>11.74</x:v>
      </x:c>
      <x:c r="Y217" s="1" t="n">
        <x:f>Parametros_Operacion!$B$5*2</x:f>
        <x:v>62.8</x:v>
      </x:c>
    </x:row>
    <x:row r="218">
      <x:c r="A218" s="1" t="str">
        <x:v>P0229</x:v>
      </x:c>
      <x:c r="B218" s="6" t="n">
        <x:v>46174.3125</x:v>
      </x:c>
      <x:c r="C218" s="1" t="str">
        <x:v>C048</x:v>
      </x:c>
      <x:c r="D218" s="1" t="str">
        <x:v>Pulpería El Buen Vecino</x:v>
      </x:c>
      <x:c r="E218" s="1" t="str">
        <x:v>La Masica</x:v>
      </x:c>
      <x:c r="F218" s="7" t="n">
        <x:v>15.62472152688023</x:v>
      </x:c>
      <x:c r="G218" s="7" t="n">
        <x:v>-86.69651578294237</x:v>
      </x:c>
      <x:c r="H218" s="1" t="str">
        <x:v>R004</x:v>
      </x:c>
      <x:c r="I218" s="1" t="str">
        <x:v>Daniela Cruz</x:v>
      </x:c>
      <x:c r="J218" s="1" t="str">
        <x:v>V004</x:v>
      </x:c>
      <x:c r="K218" s="1" t="str">
        <x:v>Pickup con carrocería</x:v>
      </x:c>
      <x:c r="L218" s="1" t="str">
        <x:v>RT-20260601-R004</x:v>
      </x:c>
      <x:c r="M218" s="1" t="str">
        <x:v>07:20</x:v>
      </x:c>
      <x:c r="N218" s="1" t="str">
        <x:v>07:30</x:v>
      </x:c>
      <x:c r="O218" s="1" t="n">
        <x:v>10</x:v>
      </x:c>
      <x:c r="P218" s="5" t="n">
        <x:f>ROUND(X218+Y218,2)</x:f>
        <x:v>85.84</x:v>
      </x:c>
      <x:c r="Q218" s="5" t="n">
        <x:f>ROUND(P218/Vehiculos!$E$5*Vehiculos!$F$5,2)</x:f>
        <x:v>311.68</x:v>
      </x:c>
      <x:c r="R218" s="1" t="str">
        <x:v>Entregado</x:v>
      </x:c>
      <x:c r="S218" s="1" t="str">
        <x:v>Media</x:v>
      </x:c>
      <x:c r="T218" s="1" t="n">
        <x:v>1</x:v>
      </x:c>
      <x:c r="U218" s="1" t="n">
        <x:v>1</x:v>
      </x:c>
      <x:c r="V218" s="5" t="n">
        <x:v>4826.43</x:v>
      </x:c>
      <x:c r="W218" s="1" t="str">
        <x:v>08:50</x:v>
      </x:c>
      <x:c r="X218" s="1" t="n">
        <x:v>3.44</x:v>
      </x:c>
      <x:c r="Y218" s="1" t="n">
        <x:f>Parametros_Operacion!$B$7*2</x:f>
        <x:v>82.4</x:v>
      </x:c>
    </x:row>
    <x:row r="219">
      <x:c r="A219" s="1" t="str">
        <x:v>P0129</x:v>
      </x:c>
      <x:c r="B219" s="6" t="n">
        <x:v>46174.34305555555</x:v>
      </x:c>
      <x:c r="C219" s="1" t="str">
        <x:v>C010</x:v>
      </x:c>
      <x:c r="D219" s="1" t="str">
        <x:v>Comercial La Costa</x:v>
      </x:c>
      <x:c r="E219" s="1" t="str">
        <x:v>Arizona</x:v>
      </x:c>
      <x:c r="F219" s="7" t="n">
        <x:v>15.61871939198217</x:v>
      </x:c>
      <x:c r="G219" s="7" t="n">
        <x:v>-87.37634942061808</x:v>
      </x:c>
      <x:c r="H219" s="1" t="str">
        <x:v>R006</x:v>
      </x:c>
      <x:c r="I219" s="1" t="str">
        <x:v>Kevin Flores</x:v>
      </x:c>
      <x:c r="J219" s="1" t="str">
        <x:v>V006</x:v>
      </x:c>
      <x:c r="K219" s="1" t="str">
        <x:v>Pickup con carrocería</x:v>
      </x:c>
      <x:c r="L219" s="1" t="str">
        <x:v>RT-20260601-R006</x:v>
      </x:c>
      <x:c r="M219" s="1" t="str">
        <x:v>08:03</x:v>
      </x:c>
      <x:c r="N219" s="1" t="str">
        <x:v>08:14</x:v>
      </x:c>
      <x:c r="O219" s="1" t="n">
        <x:v>11</x:v>
      </x:c>
      <x:c r="P219" s="5" t="n">
        <x:f>ROUND(X219+Y219,2)</x:f>
        <x:v>149.62</x:v>
      </x:c>
      <x:c r="Q219" s="5" t="n">
        <x:f>ROUND(P219/Vehiculos!$E$7*Vehiculos!$F$7,2)</x:f>
        <x:v>570.43</x:v>
      </x:c>
      <x:c r="R219" s="1" t="str">
        <x:v>Entregado</x:v>
      </x:c>
      <x:c r="S219" s="1" t="str">
        <x:v>Media</x:v>
      </x:c>
      <x:c r="T219" s="1" t="n">
        <x:v>1</x:v>
      </x:c>
      <x:c r="U219" s="1" t="n">
        <x:v>1</x:v>
      </x:c>
      <x:c r="V219" s="5" t="n">
        <x:v>4088.38</x:v>
      </x:c>
      <x:c r="W219" s="1" t="str">
        <x:v>08:50</x:v>
      </x:c>
      <x:c r="X219" s="1" t="n">
        <x:v>4.62</x:v>
      </x:c>
      <x:c r="Y219" s="1" t="n">
        <x:f>Parametros_Operacion!$B$2*2</x:f>
        <x:v>145</x:v>
      </x:c>
    </x:row>
    <x:row r="220">
      <x:c r="A220" s="1" t="str">
        <x:v>P0214</x:v>
      </x:c>
      <x:c r="B220" s="6" t="n">
        <x:v>46174.34583333333</x:v>
      </x:c>
      <x:c r="C220" s="1" t="str">
        <x:v>C028</x:v>
      </x:c>
      <x:c r="D220" s="1" t="str">
        <x:v>Pulpería El Buen Vecino</x:v>
      </x:c>
      <x:c r="E220" s="1" t="str">
        <x:v>Esparta</x:v>
      </x:c>
      <x:c r="F220" s="7" t="n">
        <x:v>15.64639811449093</x:v>
      </x:c>
      <x:c r="G220" s="7" t="n">
        <x:v>-87.26933914683686</x:v>
      </x:c>
      <x:c r="H220" s="1" t="str">
        <x:v>R007</x:v>
      </x:c>
      <x:c r="I220" s="1" t="str">
        <x:v>María Hernández</x:v>
      </x:c>
      <x:c r="J220" s="1" t="str">
        <x:v>V007</x:v>
      </x:c>
      <x:c r="K220" s="1" t="str">
        <x:v>Pickup con carrocería</x:v>
      </x:c>
      <x:c r="L220" s="1" t="str">
        <x:v>RT-20260601-R007</x:v>
      </x:c>
      <x:c r="M220" s="1" t="str">
        <x:v>08:08</x:v>
      </x:c>
      <x:c r="N220" s="1" t="str">
        <x:v>08:18</x:v>
      </x:c>
      <x:c r="O220" s="1" t="n">
        <x:v>10</x:v>
      </x:c>
      <x:c r="P220" s="5" t="n">
        <x:f>ROUND(X220+Y220,2)</x:f>
        <x:v>153.3</x:v>
      </x:c>
      <x:c r="Q220" s="5" t="n">
        <x:f>ROUND(P220/Vehiculos!$E$8*Vehiculos!$F$8,2)</x:f>
        <x:v>584.46</x:v>
      </x:c>
      <x:c r="R220" s="1" t="str">
        <x:v>Entregado</x:v>
      </x:c>
      <x:c r="S220" s="1" t="str">
        <x:v>Media</x:v>
      </x:c>
      <x:c r="T220" s="1" t="n">
        <x:v>1</x:v>
      </x:c>
      <x:c r="U220" s="1" t="n">
        <x:v>1</x:v>
      </x:c>
      <x:c r="V220" s="5" t="n">
        <x:v>6437.43</x:v>
      </x:c>
      <x:c r="W220" s="1" t="str">
        <x:v>08:50</x:v>
      </x:c>
      <x:c r="X220" s="1" t="n">
        <x:v>2.3</x:v>
      </x:c>
      <x:c r="Y220" s="1" t="n">
        <x:f>Parametros_Operacion!$B$4*2</x:f>
        <x:v>151</x:v>
      </x:c>
    </x:row>
    <x:row r="221">
      <x:c r="A221" s="1" t="str">
        <x:v>P0226</x:v>
      </x:c>
      <x:c r="B221" s="6" t="n">
        <x:v>46175.28055555555</x:v>
      </x:c>
      <x:c r="C221" s="1" t="str">
        <x:v>C053</x:v>
      </x:c>
      <x:c r="D221" s="1" t="str">
        <x:v>Mercadito Doña Marta</x:v>
      </x:c>
      <x:c r="E221" s="1" t="str">
        <x:v>La Ceiba</x:v>
      </x:c>
      <x:c r="F221" s="7" t="n">
        <x:v>15.74017612525048</x:v>
      </x:c>
      <x:c r="G221" s="7" t="n">
        <x:v>-86.8181117726974</x:v>
      </x:c>
      <x:c r="H221" s="1" t="str">
        <x:v>R001</x:v>
      </x:c>
      <x:c r="I221" s="1" t="str">
        <x:v>Carlos Mejía</x:v>
      </x:c>
      <x:c r="J221" s="1" t="str">
        <x:v>V001</x:v>
      </x:c>
      <x:c r="K221" s="1" t="str">
        <x:v>Pickup con carrocería</x:v>
      </x:c>
      <x:c r="L221" s="1" t="str">
        <x:v>RT-20260602-R001</x:v>
      </x:c>
      <x:c r="M221" s="1" t="str">
        <x:v>06:30</x:v>
      </x:c>
      <x:c r="N221" s="1" t="str">
        <x:v>06:44</x:v>
      </x:c>
      <x:c r="O221" s="1" t="n">
        <x:v>14</x:v>
      </x:c>
      <x:c r="P221" s="5" t="n">
        <x:f>ROUND(X221+Y221,2)</x:f>
        <x:v>9.32</x:v>
      </x:c>
      <x:c r="Q221" s="5" t="n">
        <x:f>ROUND(P221/Vehiculos!$E$2*Vehiculos!$F$2,2)</x:f>
        <x:v>32.3</x:v>
      </x:c>
      <x:c r="R221" s="1" t="str">
        <x:v>Entregado</x:v>
      </x:c>
      <x:c r="S221" s="1" t="str">
        <x:v>Media</x:v>
      </x:c>
      <x:c r="T221" s="1" t="n">
        <x:v>1</x:v>
      </x:c>
      <x:c r="U221" s="1" t="n">
        <x:v>1</x:v>
      </x:c>
      <x:c r="V221" s="5" t="n">
        <x:v>2017.99</x:v>
      </x:c>
      <x:c r="W221" s="1" t="str">
        <x:v>08:50</x:v>
      </x:c>
      <x:c r="X221" s="1" t="n">
        <x:v>9.32</x:v>
      </x:c>
      <x:c r="Y221" s="1" t="n">
        <x:f>Parametros_Operacion!$B$6*0</x:f>
        <x:v>0</x:v>
      </x:c>
    </x:row>
    <x:row r="222">
      <x:c r="A222" s="1" t="str">
        <x:v>P0053</x:v>
      </x:c>
      <x:c r="B222" s="6" t="n">
        <x:v>46175.3125</x:v>
      </x:c>
      <x:c r="C222" s="1" t="str">
        <x:v>C035</x:v>
      </x:c>
      <x:c r="D222" s="1" t="str">
        <x:v>Comercial El Progreso</x:v>
      </x:c>
      <x:c r="E222" s="1" t="str">
        <x:v>La Masica</x:v>
      </x:c>
      <x:c r="F222" s="7" t="n">
        <x:v>15.62206912424701</x:v>
      </x:c>
      <x:c r="G222" s="7" t="n">
        <x:v>-86.6956589389744</x:v>
      </x:c>
      <x:c r="H222" s="1" t="str">
        <x:v>R004</x:v>
      </x:c>
      <x:c r="I222" s="1" t="str">
        <x:v>Daniela Cruz</x:v>
      </x:c>
      <x:c r="J222" s="1" t="str">
        <x:v>V004</x:v>
      </x:c>
      <x:c r="K222" s="1" t="str">
        <x:v>Pickup con carrocería</x:v>
      </x:c>
      <x:c r="L222" s="1" t="str">
        <x:v>RT-20260602-R004</x:v>
      </x:c>
      <x:c r="M222" s="1" t="str">
        <x:v>07:20</x:v>
      </x:c>
      <x:c r="N222" s="1" t="str">
        <x:v>07:30</x:v>
      </x:c>
      <x:c r="O222" s="1" t="n">
        <x:v>10</x:v>
      </x:c>
      <x:c r="P222" s="5" t="n">
        <x:f>ROUND(X222+Y222,2)</x:f>
        <x:v>86.2</x:v>
      </x:c>
      <x:c r="Q222" s="5" t="n">
        <x:f>ROUND(P222/Vehiculos!$E$5*Vehiculos!$F$5,2)</x:f>
        <x:v>312.99</x:v>
      </x:c>
      <x:c r="R222" s="1" t="str">
        <x:v>Entregado</x:v>
      </x:c>
      <x:c r="S222" s="1" t="str">
        <x:v>Baja</x:v>
      </x:c>
      <x:c r="T222" s="1" t="n">
        <x:v>1</x:v>
      </x:c>
      <x:c r="U222" s="1" t="n">
        <x:v>1</x:v>
      </x:c>
      <x:c r="V222" s="5" t="n">
        <x:v>2293.97</x:v>
      </x:c>
      <x:c r="W222" s="1" t="str">
        <x:v>09:30</x:v>
      </x:c>
      <x:c r="X222" s="1" t="n">
        <x:v>3.8</x:v>
      </x:c>
      <x:c r="Y222" s="1" t="n">
        <x:f>Parametros_Operacion!$B$7*2</x:f>
        <x:v>82.4</x:v>
      </x:c>
    </x:row>
    <x:row r="223">
      <x:c r="A223" s="1" t="str">
        <x:v>P0225</x:v>
      </x:c>
      <x:c r="B223" s="6" t="n">
        <x:v>46175.31319444445</x:v>
      </x:c>
      <x:c r="C223" s="1" t="str">
        <x:v>C054</x:v>
      </x:c>
      <x:c r="D223" s="1" t="str">
        <x:v>Abarrotería San Miguel</x:v>
      </x:c>
      <x:c r="E223" s="1" t="str">
        <x:v>San Francisco</x:v>
      </x:c>
      <x:c r="F223" s="7" t="n">
        <x:v>15.63625968512296</x:v>
      </x:c>
      <x:c r="G223" s="7" t="n">
        <x:v>-87.01103338715818</x:v>
      </x:c>
      <x:c r="H223" s="1" t="str">
        <x:v>R005</x:v>
      </x:c>
      <x:c r="I223" s="1" t="str">
        <x:v>José Martínez</x:v>
      </x:c>
      <x:c r="J223" s="1" t="str">
        <x:v>V005</x:v>
      </x:c>
      <x:c r="K223" s="1" t="str">
        <x:v>Camión pequeño</x:v>
      </x:c>
      <x:c r="L223" s="1" t="str">
        <x:v>RT-20260602-R005</x:v>
      </x:c>
      <x:c r="M223" s="1" t="str">
        <x:v>07:19</x:v>
      </x:c>
      <x:c r="N223" s="1" t="str">
        <x:v>07:31</x:v>
      </x:c>
      <x:c r="O223" s="1" t="n">
        <x:v>12</x:v>
      </x:c>
      <x:c r="P223" s="5" t="n">
        <x:f>ROUND(X223+Y223,2)</x:f>
        <x:v>75.5</x:v>
      </x:c>
      <x:c r="Q223" s="5" t="n">
        <x:f>ROUND(P223/Vehiculos!$E$6*Vehiculos!$F$6,2)</x:f>
        <x:v>359.81</x:v>
      </x:c>
      <x:c r="R223" s="1" t="str">
        <x:v>Entregado</x:v>
      </x:c>
      <x:c r="S223" s="1" t="str">
        <x:v>Media</x:v>
      </x:c>
      <x:c r="T223" s="1" t="n">
        <x:v>1</x:v>
      </x:c>
      <x:c r="U223" s="1" t="n">
        <x:v>1</x:v>
      </x:c>
      <x:c r="V223" s="5" t="n">
        <x:v>2886.96</x:v>
      </x:c>
      <x:c r="W223" s="1" t="str">
        <x:v>08:50</x:v>
      </x:c>
      <x:c r="X223" s="1" t="n">
        <x:v>5.5</x:v>
      </x:c>
      <x:c r="Y223" s="1" t="n">
        <x:f>Parametros_Operacion!$B$8*2</x:f>
        <x:v>70</x:v>
      </x:c>
    </x:row>
    <x:row r="224">
      <x:c r="A224" s="1" t="str">
        <x:v>P0197</x:v>
      </x:c>
      <x:c r="B224" s="6" t="n">
        <x:v>46175.342361111114</x:v>
      </x:c>
      <x:c r="C224" s="1" t="str">
        <x:v>C017</x:v>
      </x:c>
      <x:c r="D224" s="1" t="str">
        <x:v>Mini Súper El Parque</x:v>
      </x:c>
      <x:c r="E224" s="1" t="str">
        <x:v>Arizona</x:v>
      </x:c>
      <x:c r="F224" s="7" t="n">
        <x:v>15.61459126274449</x:v>
      </x:c>
      <x:c r="G224" s="7" t="n">
        <x:v>-87.34904198469981</x:v>
      </x:c>
      <x:c r="H224" s="1" t="str">
        <x:v>R006</x:v>
      </x:c>
      <x:c r="I224" s="1" t="str">
        <x:v>Kevin Flores</x:v>
      </x:c>
      <x:c r="J224" s="1" t="str">
        <x:v>V006</x:v>
      </x:c>
      <x:c r="K224" s="1" t="str">
        <x:v>Pickup con carrocería</x:v>
      </x:c>
      <x:c r="L224" s="1" t="str">
        <x:v>RT-20260602-R006</x:v>
      </x:c>
      <x:c r="M224" s="1" t="str">
        <x:v>08:03</x:v>
      </x:c>
      <x:c r="N224" s="1" t="str">
        <x:v>08:13</x:v>
      </x:c>
      <x:c r="O224" s="1" t="n">
        <x:v>10</x:v>
      </x:c>
      <x:c r="P224" s="5" t="n">
        <x:f>ROUND(X224+Y224,2)</x:f>
        <x:v>147.8</x:v>
      </x:c>
      <x:c r="Q224" s="5" t="n">
        <x:f>ROUND(P224/Vehiculos!$E$7*Vehiculos!$F$7,2)</x:f>
        <x:v>563.49</x:v>
      </x:c>
      <x:c r="R224" s="1" t="str">
        <x:v>Entregado</x:v>
      </x:c>
      <x:c r="S224" s="1" t="str">
        <x:v>Media</x:v>
      </x:c>
      <x:c r="T224" s="1" t="n">
        <x:v>1</x:v>
      </x:c>
      <x:c r="U224" s="1" t="n">
        <x:v>1</x:v>
      </x:c>
      <x:c r="V224" s="5" t="n">
        <x:v>3161.7</x:v>
      </x:c>
      <x:c r="W224" s="1" t="str">
        <x:v>08:50</x:v>
      </x:c>
      <x:c r="X224" s="1" t="n">
        <x:v>2.8</x:v>
      </x:c>
      <x:c r="Y224" s="1" t="n">
        <x:f>Parametros_Operacion!$B$2*2</x:f>
        <x:v>145</x:v>
      </x:c>
    </x:row>
    <x:row r="225">
      <x:c r="A225" s="1" t="str">
        <x:v>P0222</x:v>
      </x:c>
      <x:c r="B225" s="6" t="n">
        <x:v>46176.347916666666</x:v>
      </x:c>
      <x:c r="C225" s="1" t="str">
        <x:v>C029</x:v>
      </x:c>
      <x:c r="D225" s="1" t="str">
        <x:v>Mini Súper El Triunfo</x:v>
      </x:c>
      <x:c r="E225" s="1" t="str">
        <x:v>Esparta</x:v>
      </x:c>
      <x:c r="F225" s="7" t="n">
        <x:v>15.67954455979815</x:v>
      </x:c>
      <x:c r="G225" s="7" t="n">
        <x:v>-87.27057452130482</x:v>
      </x:c>
      <x:c r="H225" s="1" t="str">
        <x:v>R007</x:v>
      </x:c>
      <x:c r="I225" s="1" t="str">
        <x:v>María Hernández</x:v>
      </x:c>
      <x:c r="J225" s="1" t="str">
        <x:v>V007</x:v>
      </x:c>
      <x:c r="K225" s="1" t="str">
        <x:v>Pickup con carrocería</x:v>
      </x:c>
      <x:c r="L225" s="1" t="str">
        <x:v>RT-20260603-R007</x:v>
      </x:c>
      <x:c r="M225" s="1" t="str">
        <x:v>08:08</x:v>
      </x:c>
      <x:c r="N225" s="1" t="str">
        <x:v>08:21</x:v>
      </x:c>
      <x:c r="O225" s="1" t="n">
        <x:v>13</x:v>
      </x:c>
      <x:c r="P225" s="5" t="n">
        <x:f>ROUND(X225+Y225,2)</x:f>
        <x:v>157.96</x:v>
      </x:c>
      <x:c r="Q225" s="5" t="n">
        <x:f>ROUND(P225/Vehiculos!$E$8*Vehiculos!$F$8,2)</x:f>
        <x:v>602.23</x:v>
      </x:c>
      <x:c r="R225" s="1" t="str">
        <x:v>Entregado</x:v>
      </x:c>
      <x:c r="S225" s="1" t="str">
        <x:v>Media</x:v>
      </x:c>
      <x:c r="T225" s="1" t="n">
        <x:v>1</x:v>
      </x:c>
      <x:c r="U225" s="1" t="n">
        <x:v>1</x:v>
      </x:c>
      <x:c r="V225" s="5" t="n">
        <x:v>2271.37</x:v>
      </x:c>
      <x:c r="W225" s="1" t="str">
        <x:v>08:50</x:v>
      </x:c>
      <x:c r="X225" s="1" t="n">
        <x:v>6.96</x:v>
      </x:c>
      <x:c r="Y225" s="1" t="n">
        <x:f>Parametros_Operacion!$B$4*2</x:f>
        <x:v>151</x:v>
      </x:c>
    </x:row>
    <x:row r="226">
      <x:c r="A226" s="1" t="str">
        <x:v>P0231</x:v>
      </x:c>
      <x:c r="B226" s="6" t="n">
        <x:v>46177.3125</x:v>
      </x:c>
      <x:c r="C226" s="1" t="str">
        <x:v>C042</x:v>
      </x:c>
      <x:c r="D226" s="1" t="str">
        <x:v>Mini Súper La Bendición</x:v>
      </x:c>
      <x:c r="E226" s="1" t="str">
        <x:v>San Francisco</x:v>
      </x:c>
      <x:c r="F226" s="7" t="n">
        <x:v>15.64942224496931</x:v>
      </x:c>
      <x:c r="G226" s="7" t="n">
        <x:v>-86.98247971654797</x:v>
      </x:c>
      <x:c r="H226" s="1" t="str">
        <x:v>R005</x:v>
      </x:c>
      <x:c r="I226" s="1" t="str">
        <x:v>José Martínez</x:v>
      </x:c>
      <x:c r="J226" s="1" t="str">
        <x:v>V005</x:v>
      </x:c>
      <x:c r="K226" s="1" t="str">
        <x:v>Camión pequeño</x:v>
      </x:c>
      <x:c r="L226" s="1" t="str">
        <x:v>RT-20260604-R005</x:v>
      </x:c>
      <x:c r="M226" s="1" t="str">
        <x:v>07:19</x:v>
      </x:c>
      <x:c r="N226" s="1" t="str">
        <x:v>07:30</x:v>
      </x:c>
      <x:c r="O226" s="1" t="n">
        <x:v>11</x:v>
      </x:c>
      <x:c r="P226" s="5" t="n">
        <x:f>ROUND(X226+Y226,2)</x:f>
        <x:v>73.78</x:v>
      </x:c>
      <x:c r="Q226" s="5" t="n">
        <x:f>ROUND(P226/Vehiculos!$E$6*Vehiculos!$F$6,2)</x:f>
        <x:v>351.61</x:v>
      </x:c>
      <x:c r="R226" s="1" t="str">
        <x:v>Entregado</x:v>
      </x:c>
      <x:c r="S226" s="1" t="str">
        <x:v>Media</x:v>
      </x:c>
      <x:c r="T226" s="1" t="n">
        <x:v>1</x:v>
      </x:c>
      <x:c r="U226" s="1" t="n">
        <x:v>1</x:v>
      </x:c>
      <x:c r="V226" s="5" t="n">
        <x:v>2048.6</x:v>
      </x:c>
      <x:c r="W226" s="1" t="str">
        <x:v>08:50</x:v>
      </x:c>
      <x:c r="X226" s="1" t="n">
        <x:v>3.78</x:v>
      </x:c>
      <x:c r="Y226" s="1" t="n">
        <x:f>Parametros_Operacion!$B$8*2</x:f>
        <x:v>70</x:v>
      </x:c>
    </x:row>
    <x:row r="227">
      <x:c r="A227" s="1" t="str">
        <x:v>P0054</x:v>
      </x:c>
      <x:c r="B227" s="6" t="n">
        <x:v>46178.34652777778</x:v>
      </x:c>
      <x:c r="C227" s="1" t="str">
        <x:v>C007</x:v>
      </x:c>
      <x:c r="D227" s="1" t="str">
        <x:v>Distribuidora El Faro</x:v>
      </x:c>
      <x:c r="E227" s="1" t="str">
        <x:v>Arizona</x:v>
      </x:c>
      <x:c r="F227" s="7" t="n">
        <x:v>15.65824299089472</x:v>
      </x:c>
      <x:c r="G227" s="7" t="n">
        <x:v>-87.37734008221386</x:v>
      </x:c>
      <x:c r="H227" s="1" t="str">
        <x:v>R006</x:v>
      </x:c>
      <x:c r="I227" s="1" t="str">
        <x:v>Kevin Flores</x:v>
      </x:c>
      <x:c r="J227" s="1" t="str">
        <x:v>V006</x:v>
      </x:c>
      <x:c r="K227" s="1" t="str">
        <x:v>Pickup con carrocería</x:v>
      </x:c>
      <x:c r="L227" s="1" t="str">
        <x:v>RT-20260605-R006</x:v>
      </x:c>
      <x:c r="M227" s="1" t="str">
        <x:v>08:03</x:v>
      </x:c>
      <x:c r="N227" s="1" t="str">
        <x:v>08:19</x:v>
      </x:c>
      <x:c r="O227" s="1" t="n">
        <x:v>16</x:v>
      </x:c>
      <x:c r="P227" s="5" t="n">
        <x:f>ROUND(X227+Y227,2)</x:f>
        <x:v>157.48</x:v>
      </x:c>
      <x:c r="Q227" s="5" t="n">
        <x:f>ROUND(P227/Vehiculos!$E$7*Vehiculos!$F$7,2)</x:f>
        <x:v>600.4</x:v>
      </x:c>
      <x:c r="R227" s="1" t="str">
        <x:v>Entregado</x:v>
      </x:c>
      <x:c r="S227" s="1" t="str">
        <x:v>Media</x:v>
      </x:c>
      <x:c r="T227" s="1" t="n">
        <x:v>1</x:v>
      </x:c>
      <x:c r="U227" s="1" t="n">
        <x:v>1</x:v>
      </x:c>
      <x:c r="V227" s="5" t="n">
        <x:v>1269.52</x:v>
      </x:c>
      <x:c r="W227" s="1" t="str">
        <x:v>08:50</x:v>
      </x:c>
      <x:c r="X227" s="1" t="n">
        <x:v>12.48</x:v>
      </x:c>
      <x:c r="Y227" s="1" t="n">
        <x:f>Parametros_Operacion!$B$2*2</x:f>
        <x:v>145</x:v>
      </x:c>
    </x:row>
    <x:row r="228">
      <x:c r="A228" s="1" t="str">
        <x:v>P0104</x:v>
      </x:c>
      <x:c r="B228" s="6" t="n">
        <x:v>46181.34652777778</x:v>
      </x:c>
      <x:c r="C228" s="1" t="str">
        <x:v>C018</x:v>
      </x:c>
      <x:c r="D228" s="1" t="str">
        <x:v>Comercial Caribe</x:v>
      </x:c>
      <x:c r="E228" s="1" t="str">
        <x:v>Esparta</x:v>
      </x:c>
      <x:c r="F228" s="7" t="n">
        <x:v>15.66265844998048</x:v>
      </x:c>
      <x:c r="G228" s="7" t="n">
        <x:v>-87.2525029728019</x:v>
      </x:c>
      <x:c r="H228" s="1" t="str">
        <x:v>R007</x:v>
      </x:c>
      <x:c r="I228" s="1" t="str">
        <x:v>María Hernández</x:v>
      </x:c>
      <x:c r="J228" s="1" t="str">
        <x:v>V007</x:v>
      </x:c>
      <x:c r="K228" s="1" t="str">
        <x:v>Pickup con carrocería</x:v>
      </x:c>
      <x:c r="L228" s="1" t="str">
        <x:v>RT-20260608-R007</x:v>
      </x:c>
      <x:c r="M228" s="1" t="str">
        <x:v>08:08</x:v>
      </x:c>
      <x:c r="N228" s="1" t="str">
        <x:v>08:19</x:v>
      </x:c>
      <x:c r="O228" s="1" t="n">
        <x:v>11</x:v>
      </x:c>
      <x:c r="P228" s="5" t="n">
        <x:f>ROUND(X228+Y228,2)</x:f>
        <x:v>155.84</x:v>
      </x:c>
      <x:c r="Q228" s="5" t="n">
        <x:f>ROUND(P228/Vehiculos!$E$8*Vehiculos!$F$8,2)</x:f>
        <x:v>594.14</x:v>
      </x:c>
      <x:c r="R228" s="1" t="str">
        <x:v>Entregado</x:v>
      </x:c>
      <x:c r="S228" s="1" t="str">
        <x:v>Baja</x:v>
      </x:c>
      <x:c r="T228" s="1" t="n">
        <x:v>1</x:v>
      </x:c>
      <x:c r="U228" s="1" t="n">
        <x:v>1</x:v>
      </x:c>
      <x:c r="V228" s="5" t="n">
        <x:v>1667.24</x:v>
      </x:c>
      <x:c r="W228" s="1" t="str">
        <x:v>09:30</x:v>
      </x:c>
      <x:c r="X228" s="1" t="n">
        <x:v>4.84</x:v>
      </x:c>
      <x:c r="Y228" s="1" t="n">
        <x:f>Parametros_Operacion!$B$4*2</x:f>
        <x:v>151</x:v>
      </x:c>
    </x:row>
    <x:row r="229">
      <x:c r="A229" s="1" t="str">
        <x:v>P0105</x:v>
      </x:c>
      <x:c r="B229" s="6" t="n">
        <x:v>46184.30625</x:v>
      </x:c>
      <x:c r="C229" s="1" t="str">
        <x:v>C051</x:v>
      </x:c>
      <x:c r="D229" s="1" t="str">
        <x:v>Pulpería La Esperanza</x:v>
      </x:c>
      <x:c r="E229" s="1" t="str">
        <x:v>Jutiapa</x:v>
      </x:c>
      <x:c r="F229" s="7" t="n">
        <x:v>15.64757132645944</x:v>
      </x:c>
      <x:c r="G229" s="7" t="n">
        <x:v>-86.23647664495304</x:v>
      </x:c>
      <x:c r="H229" s="1" t="str">
        <x:v>R003</x:v>
      </x:c>
      <x:c r="I229" s="1" t="str">
        <x:v>Luis Ramírez</x:v>
      </x:c>
      <x:c r="J229" s="1" t="str">
        <x:v>V003</x:v>
      </x:c>
      <x:c r="K229" s="1" t="str">
        <x:v>Pickup con carrocería</x:v>
      </x:c>
      <x:c r="L229" s="1" t="str">
        <x:v>RT-20260611-R003</x:v>
      </x:c>
      <x:c r="M229" s="1" t="str">
        <x:v>07:10</x:v>
      </x:c>
      <x:c r="N229" s="1" t="str">
        <x:v>07:21</x:v>
      </x:c>
      <x:c r="O229" s="1" t="n">
        <x:v>11</x:v>
      </x:c>
      <x:c r="P229" s="5" t="n">
        <x:f>ROUND(X229+Y229,2)</x:f>
        <x:v>68.04</x:v>
      </x:c>
      <x:c r="Q229" s="5" t="n">
        <x:f>ROUND(P229/Vehiculos!$E$4*Vehiculos!$F$4,2)</x:f>
        <x:v>259.4</x:v>
      </x:c>
      <x:c r="R229" s="1" t="str">
        <x:v>Entregado</x:v>
      </x:c>
      <x:c r="S229" s="1" t="str">
        <x:v>Media</x:v>
      </x:c>
      <x:c r="T229" s="1" t="n">
        <x:v>1</x:v>
      </x:c>
      <x:c r="U229" s="1" t="n">
        <x:v>1</x:v>
      </x:c>
      <x:c r="V229" s="5" t="n">
        <x:v>1672.18</x:v>
      </x:c>
      <x:c r="W229" s="1" t="str">
        <x:v>08:50</x:v>
      </x:c>
      <x:c r="X229" s="1" t="n">
        <x:v>5.24</x:v>
      </x:c>
      <x:c r="Y229" s="1" t="n">
        <x:f>Parametros_Operacion!$B$5*2</x:f>
        <x:v>62.8</x:v>
      </x:c>
    </x:row>
    <x:row r="230">
      <x:c r="A230" s="1" t="str">
        <x:v>P0156</x:v>
      </x:c>
      <x:c r="B230" s="6" t="n">
        <x:v>46187.34652777778</x:v>
      </x:c>
      <x:c r="C230" s="1" t="str">
        <x:v>C018</x:v>
      </x:c>
      <x:c r="D230" s="1" t="str">
        <x:v>Comercial Caribe</x:v>
      </x:c>
      <x:c r="E230" s="1" t="str">
        <x:v>Esparta</x:v>
      </x:c>
      <x:c r="F230" s="7" t="n">
        <x:v>15.66265844998048</x:v>
      </x:c>
      <x:c r="G230" s="7" t="n">
        <x:v>-87.2525029728019</x:v>
      </x:c>
      <x:c r="H230" s="1" t="str">
        <x:v>R007</x:v>
      </x:c>
      <x:c r="I230" s="1" t="str">
        <x:v>María Hernández</x:v>
      </x:c>
      <x:c r="J230" s="1" t="str">
        <x:v>V007</x:v>
      </x:c>
      <x:c r="K230" s="1" t="str">
        <x:v>Pickup con carrocería</x:v>
      </x:c>
      <x:c r="L230" s="1" t="str">
        <x:v>RT-20260614-R007</x:v>
      </x:c>
      <x:c r="M230" s="1" t="str">
        <x:v>08:08</x:v>
      </x:c>
      <x:c r="N230" s="1" t="str">
        <x:v>08:19</x:v>
      </x:c>
      <x:c r="O230" s="1" t="n">
        <x:v>11</x:v>
      </x:c>
      <x:c r="P230" s="5" t="n">
        <x:f>ROUND(X230+Y230,2)</x:f>
        <x:v>155.84</x:v>
      </x:c>
      <x:c r="Q230" s="5" t="n">
        <x:f>ROUND(P230/Vehiculos!$E$8*Vehiculos!$F$8,2)</x:f>
        <x:v>594.14</x:v>
      </x:c>
      <x:c r="R230" s="1" t="str">
        <x:v>Entregado</x:v>
      </x:c>
      <x:c r="S230" s="1" t="str">
        <x:v>Media</x:v>
      </x:c>
      <x:c r="T230" s="1" t="n">
        <x:v>1</x:v>
      </x:c>
      <x:c r="U230" s="1" t="n">
        <x:v>1</x:v>
      </x:c>
      <x:c r="V230" s="5" t="n">
        <x:v>3997.75</x:v>
      </x:c>
      <x:c r="W230" s="1" t="str">
        <x:v>08:50</x:v>
      </x:c>
      <x:c r="X230" s="1" t="n">
        <x:v>4.84</x:v>
      </x:c>
      <x:c r="Y230" s="1" t="n">
        <x:f>Parametros_Operacion!$B$4*2</x:f>
        <x:v>151</x:v>
      </x:c>
    </x:row>
    <x:row r="231">
      <x:c r="A231" s="1" t="str">
        <x:v>P0228</x:v>
      </x:c>
      <x:c r="B231" s="6" t="n">
        <x:v>46190.34583333333</x:v>
      </x:c>
      <x:c r="C231" s="1" t="str">
        <x:v>C037</x:v>
      </x:c>
      <x:c r="D231" s="1" t="str">
        <x:v>Mini Súper El Parque</x:v>
      </x:c>
      <x:c r="E231" s="1" t="str">
        <x:v>Esparta</x:v>
      </x:c>
      <x:c r="F231" s="7" t="n">
        <x:v>15.66792586172747</x:v>
      </x:c>
      <x:c r="G231" s="7" t="n">
        <x:v>-87.2688142905545</x:v>
      </x:c>
      <x:c r="H231" s="1" t="str">
        <x:v>R007</x:v>
      </x:c>
      <x:c r="I231" s="1" t="str">
        <x:v>María Hernández</x:v>
      </x:c>
      <x:c r="J231" s="1" t="str">
        <x:v>V007</x:v>
      </x:c>
      <x:c r="K231" s="1" t="str">
        <x:v>Pickup con carrocería</x:v>
      </x:c>
      <x:c r="L231" s="1" t="str">
        <x:v>RT-20260617-R007</x:v>
      </x:c>
      <x:c r="M231" s="1" t="str">
        <x:v>08:08</x:v>
      </x:c>
      <x:c r="N231" s="1" t="str">
        <x:v>08:18</x:v>
      </x:c>
      <x:c r="O231" s="1" t="n">
        <x:v>10</x:v>
      </x:c>
      <x:c r="P231" s="5" t="n">
        <x:f>ROUND(X231+Y231,2)</x:f>
        <x:v>154.7</x:v>
      </x:c>
      <x:c r="Q231" s="5" t="n">
        <x:f>ROUND(P231/Vehiculos!$E$8*Vehiculos!$F$8,2)</x:f>
        <x:v>589.8</x:v>
      </x:c>
      <x:c r="R231" s="1" t="str">
        <x:v>Entregado</x:v>
      </x:c>
      <x:c r="S231" s="1" t="str">
        <x:v>Media</x:v>
      </x:c>
      <x:c r="T231" s="1" t="n">
        <x:v>1</x:v>
      </x:c>
      <x:c r="U231" s="1" t="n">
        <x:v>1</x:v>
      </x:c>
      <x:c r="V231" s="5" t="n">
        <x:v>1344.99</x:v>
      </x:c>
      <x:c r="W231" s="1" t="str">
        <x:v>08:50</x:v>
      </x:c>
      <x:c r="X231" s="1" t="n">
        <x:v>3.7</x:v>
      </x:c>
      <x:c r="Y231" s="1" t="n">
        <x:f>Parametros_Operacion!$B$4*2</x:f>
        <x:v>151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13.890000343322754" hidden="0" customWidth="1"/>
    <x:col min="3" max="3" width="16.110000610351562" hidden="0" customWidth="1"/>
    <x:col min="4" max="4" width="18.889999389648438" hidden="0" customWidth="1"/>
    <x:col min="5" max="5" width="14.4399995803833" hidden="0" customWidth="1"/>
    <x:col min="6" max="6" width="21.110000610351562" hidden="0" customWidth="1"/>
    <x:col min="7" max="7" width="16.110000610351562" hidden="0" customWidth="1"/>
    <x:col min="8" max="8" width="20.559999465942383" hidden="0" customWidth="1"/>
    <x:col min="9" max="9" width="23.329999923706055" hidden="0" customWidth="1"/>
    <x:col min="10" max="10" width="13.890000343322754" hidden="0" customWidth="1"/>
    <x:col min="11" max="11" width="19.440000534057617" hidden="0" customWidth="1"/>
    <x:col min="12" max="12" width="16.670000076293945" hidden="0" customWidth="1"/>
    <x:col min="13" max="13" width="19.440000534057617" hidden="0" customWidth="1"/>
    <x:col min="14" max="14" width="17.780000686645508" hidden="0" customWidth="1"/>
    <x:col min="15" max="15" width="20" hidden="0" customWidth="1"/>
    <x:col min="16" max="16" width="22.780000686645508" hidden="0" customWidth="1"/>
    <x:col min="17" max="17" width="21.110000610351562" hidden="0" customWidth="1"/>
    <x:col min="18" max="18" width="36.66999816894531" hidden="0" customWidth="1"/>
    <x:col min="19" max="19" width="16.670000076293945" hidden="0" customWidth="1"/>
    <x:col min="20" max="20" width="16.670000076293945" hidden="0" customWidth="1"/>
    <x:col min="21" max="21" width="22.219999313354492" hidden="0" customWidth="1"/>
    <x:col min="22" max="22" width="23.329999923706055" hidden="0" customWidth="1"/>
    <x:col min="23" max="23" width="17.780000686645508" hidden="0" customWidth="1"/>
  </x:cols>
  <x:sheetData>
    <x:row r="1" ht="30" customHeight="1">
      <x:c r="A1" s="3" t="str">
        <x:v>id_ruta</x:v>
      </x:c>
      <x:c r="B1" s="3" t="str">
        <x:v>fecha_entrega</x:v>
      </x:c>
      <x:c r="C1" s="3" t="str">
        <x:v>id_repartidor</x:v>
      </x:c>
      <x:c r="D1" s="3" t="str">
        <x:v>nombre_repartidor</x:v>
      </x:c>
      <x:c r="E1" s="3" t="str">
        <x:v>id_vehiculo</x:v>
      </x:c>
      <x:c r="F1" s="3" t="str">
        <x:v>tipo_vehiculo</x:v>
      </x:c>
      <x:c r="G1" s="3" t="str">
        <x:v>total_pedidos</x:v>
      </x:c>
      <x:c r="H1" s="3" t="str">
        <x:v>distancia_base_km</x:v>
      </x:c>
      <x:c r="I1" s="3" t="str">
        <x:v>distancia_reordenada_local_km</x:v>
      </x:c>
      <x:c r="J1" s="3" t="str">
        <x:v>ahorro_local_km</x:v>
      </x:c>
      <x:c r="K1" s="3" t="str">
        <x:v>ahorro_local_porcentaje</x:v>
      </x:c>
      <x:c r="L1" s="3" t="str">
        <x:v>costo_base_L</x:v>
      </x:c>
      <x:c r="M1" s="3" t="str">
        <x:v>costo_reordenado_local_L</x:v>
      </x:c>
      <x:c r="N1" s="3" t="str">
        <x:v>ahorro_local_costo_L</x:v>
      </x:c>
      <x:c r="O1" s="3" t="str">
        <x:v>tiempo_base_min</x:v>
      </x:c>
      <x:c r="P1" s="3" t="str">
        <x:v>tiempo_reordenado_local_min</x:v>
      </x:c>
      <x:c r="Q1" s="3" t="str">
        <x:v>ahorro_local_tiempo_min</x:v>
      </x:c>
      <x:c r="R1" s="3" t="str">
        <x:v>orden_local_reordenado</x:v>
      </x:c>
      <x:c r="S1" s="3" t="str">
        <x:v>municipio</x:v>
      </x:c>
      <x:c r="T1" s="3" t="str">
        <x:v>km_troncal_ida</x:v>
      </x:c>
      <x:c r="U1" s="3" t="str">
        <x:v>km_reparto_local_base</x:v>
      </x:c>
      <x:c r="V1" s="3" t="str">
        <x:v>km_reparto_local_reordenado</x:v>
      </x:c>
      <x:c r="W1" s="3" t="str">
        <x:v>km_troncal_regreso</x:v>
      </x:c>
    </x:row>
    <x:row r="2">
      <x:c r="A2" s="1" t="str">
        <x:v>RT-20260501-R001</x:v>
      </x:c>
      <x:c r="B2" s="1" t="str">
        <x:v>2026-05-01</x:v>
      </x:c>
      <x:c r="C2" s="1" t="str">
        <x:v>R001</x:v>
      </x:c>
      <x:c r="D2" s="1" t="str">
        <x:v>Carlos Mejía</x:v>
      </x:c>
      <x:c r="E2" s="1" t="str">
        <x:v>V001</x:v>
      </x:c>
      <x:c r="F2" s="1" t="str">
        <x:v>Pickup con carrocería</x:v>
      </x:c>
      <x:c r="G2" s="1" t="n">
        <x:v>2</x:v>
      </x:c>
      <x:c r="H2" s="5" t="n">
        <x:f>ROUND(2*T2+U2,2)</x:f>
        <x:v>9.27</x:v>
      </x:c>
      <x:c r="I2" s="5" t="n">
        <x:f>MIN(H2,ROUND(T2+V2+W2,2))</x:f>
        <x:v>9.27</x:v>
      </x:c>
      <x:c r="J2" s="5" t="n">
        <x:f>ROUND(H2-I2,2)</x:f>
        <x:v>0</x:v>
      </x:c>
      <x:c r="K2" s="5" t="n">
        <x:f>IF(H2=0,0,ROUND(100*J2/H2,2))</x:f>
        <x:v>0</x:v>
      </x:c>
      <x:c r="L2" s="5" t="n">
        <x:f>SUMIF(Pedidos!$L$2:$L$231,A2,Pedidos!$Q$2:$Q$231)</x:f>
        <x:v>32.13</x:v>
      </x:c>
      <x:c r="M2" s="5" t="n">
        <x:f>IF(J2=0,L2,MIN(L2,ROUND(I2/Vehiculos!$E$2*Vehiculos!$F$2,2)))</x:f>
        <x:v>32.13</x:v>
      </x:c>
      <x:c r="N2" s="5" t="n">
        <x:f>ROUND(L2-M2,2)</x:f>
        <x:v>0</x:v>
      </x:c>
      <x:c r="O2" s="5" t="n">
        <x:f>ROUND(H2/Vehiculos!$G$2*60+G2*8,0)</x:f>
        <x:v>27</x:v>
      </x:c>
      <x:c r="P2" s="5" t="n">
        <x:f>MIN(O2,ROUND(I2/Vehiculos!$G$2*60+G2*8,0))</x:f>
        <x:v>27</x:v>
      </x:c>
      <x:c r="Q2" s="5" t="n">
        <x:f>O2-P2</x:f>
        <x:v>0</x:v>
      </x:c>
      <x:c r="R2" s="1" t="str">
        <x:v>P0003 &gt; P0006</x:v>
      </x:c>
      <x:c r="S2" s="1" t="str">
        <x:v>La Ceiba</x:v>
      </x:c>
      <x:c r="T2" s="1" t="n">
        <x:f>Parametros_Operacion!$B$6</x:f>
        <x:v>0</x:v>
      </x:c>
      <x:c r="U2" s="1" t="n">
        <x:v>9.27</x:v>
      </x:c>
      <x:c r="V2" s="1" t="n">
        <x:v>9.27</x:v>
      </x:c>
      <x:c r="W2" s="1" t="n">
        <x:f>T2</x:f>
        <x:v>0</x:v>
      </x:c>
    </x:row>
    <x:row r="3">
      <x:c r="A3" s="1" t="str">
        <x:v>RT-20260501-R004</x:v>
      </x:c>
      <x:c r="B3" s="1" t="str">
        <x:v>2026-05-01</x:v>
      </x:c>
      <x:c r="C3" s="1" t="str">
        <x:v>R004</x:v>
      </x:c>
      <x:c r="D3" s="1" t="str">
        <x:v>Daniela Cruz</x:v>
      </x:c>
      <x:c r="E3" s="1" t="str">
        <x:v>V004</x:v>
      </x:c>
      <x:c r="F3" s="1" t="str">
        <x:v>Pickup con carrocería</x:v>
      </x:c>
      <x:c r="G3" s="1" t="n">
        <x:v>1</x:v>
      </x:c>
      <x:c r="H3" s="5" t="n">
        <x:f>ROUND(2*T3+U3,2)</x:f>
        <x:v>91.56</x:v>
      </x:c>
      <x:c r="I3" s="5" t="n">
        <x:f>MIN(H3,ROUND(T3+V3+W3,2))</x:f>
        <x:v>91.56</x:v>
      </x:c>
      <x:c r="J3" s="5" t="n">
        <x:f>ROUND(H3-I3,2)</x:f>
        <x:v>0</x:v>
      </x:c>
      <x:c r="K3" s="5" t="n">
        <x:f>IF(H3=0,0,ROUND(100*J3/H3,2))</x:f>
        <x:v>0</x:v>
      </x:c>
      <x:c r="L3" s="5" t="n">
        <x:f>SUMIF(Pedidos!$L$2:$L$231,A3,Pedidos!$Q$2:$Q$231)</x:f>
        <x:v>332.45</x:v>
      </x:c>
      <x:c r="M3" s="5" t="n">
        <x:f>IF(J3=0,L3,MIN(L3,ROUND(I3/Vehiculos!$E$5*Vehiculos!$F$5,2)))</x:f>
        <x:v>332.45</x:v>
      </x:c>
      <x:c r="N3" s="5" t="n">
        <x:f>ROUND(L3-M3,2)</x:f>
        <x:v>0</x:v>
      </x:c>
      <x:c r="O3" s="5" t="n">
        <x:f>ROUND(H3/Vehiculos!$G$5*60+G3*8,0)</x:f>
        <x:v>120</x:v>
      </x:c>
      <x:c r="P3" s="5" t="n">
        <x:f>MIN(O3,ROUND(I3/Vehiculos!$G$5*60+G3*8,0))</x:f>
        <x:v>120</x:v>
      </x:c>
      <x:c r="Q3" s="5" t="n">
        <x:f>O3-P3</x:f>
        <x:v>0</x:v>
      </x:c>
      <x:c r="R3" s="1" t="str">
        <x:v>P0002</x:v>
      </x:c>
      <x:c r="S3" s="1" t="str">
        <x:v>La Masica</x:v>
      </x:c>
      <x:c r="T3" s="1" t="n">
        <x:f>Parametros_Operacion!$B$7</x:f>
        <x:v>41.2</x:v>
      </x:c>
      <x:c r="U3" s="1" t="n">
        <x:v>9.16</x:v>
      </x:c>
      <x:c r="V3" s="1" t="n">
        <x:v>9.16</x:v>
      </x:c>
      <x:c r="W3" s="1" t="n">
        <x:f>T3</x:f>
        <x:v>41.2</x:v>
      </x:c>
    </x:row>
    <x:row r="4">
      <x:c r="A4" s="1" t="str">
        <x:v>RT-20260501-R006</x:v>
      </x:c>
      <x:c r="B4" s="1" t="str">
        <x:v>2026-05-01</x:v>
      </x:c>
      <x:c r="C4" s="1" t="str">
        <x:v>R006</x:v>
      </x:c>
      <x:c r="D4" s="1" t="str">
        <x:v>Kevin Flores</x:v>
      </x:c>
      <x:c r="E4" s="1" t="str">
        <x:v>V006</x:v>
      </x:c>
      <x:c r="F4" s="1" t="str">
        <x:v>Pickup con carrocería</x:v>
      </x:c>
      <x:c r="G4" s="1" t="n">
        <x:v>2</x:v>
      </x:c>
      <x:c r="H4" s="5" t="n">
        <x:f>ROUND(2*T4+U4,2)</x:f>
        <x:v>146.38</x:v>
      </x:c>
      <x:c r="I4" s="5" t="n">
        <x:f>MIN(H4,ROUND(T4+V4+W4,2))</x:f>
        <x:v>146.38</x:v>
      </x:c>
      <x:c r="J4" s="5" t="n">
        <x:f>ROUND(H4-I4,2)</x:f>
        <x:v>0</x:v>
      </x:c>
      <x:c r="K4" s="5" t="n">
        <x:f>IF(H4=0,0,ROUND(100*J4/H4,2))</x:f>
        <x:v>0</x:v>
      </x:c>
      <x:c r="L4" s="5" t="n">
        <x:f>SUMIF(Pedidos!$L$2:$L$231,A4,Pedidos!$Q$2:$Q$231)</x:f>
        <x:v>558.08</x:v>
      </x:c>
      <x:c r="M4" s="5" t="n">
        <x:f>IF(J4=0,L4,MIN(L4,ROUND(I4/Vehiculos!$E$7*Vehiculos!$F$7,2)))</x:f>
        <x:v>558.08</x:v>
      </x:c>
      <x:c r="N4" s="5" t="n">
        <x:f>ROUND(L4-M4,2)</x:f>
        <x:v>0</x:v>
      </x:c>
      <x:c r="O4" s="5" t="n">
        <x:f>ROUND(H4/Vehiculos!$G$7*60+G4*8,0)</x:f>
        <x:v>203</x:v>
      </x:c>
      <x:c r="P4" s="5" t="n">
        <x:f>MIN(O4,ROUND(I4/Vehiculos!$G$7*60+G4*8,0))</x:f>
        <x:v>203</x:v>
      </x:c>
      <x:c r="Q4" s="5" t="n">
        <x:f>O4-P4</x:f>
        <x:v>0</x:v>
      </x:c>
      <x:c r="R4" s="1" t="str">
        <x:v>P0001 &gt; P0005</x:v>
      </x:c>
      <x:c r="S4" s="1" t="str">
        <x:v>Arizona</x:v>
      </x:c>
      <x:c r="T4" s="1" t="n">
        <x:f>Parametros_Operacion!$B$2</x:f>
        <x:v>72.5</x:v>
      </x:c>
      <x:c r="U4" s="1" t="n">
        <x:v>1.38</x:v>
      </x:c>
      <x:c r="V4" s="1" t="n">
        <x:v>1.38</x:v>
      </x:c>
      <x:c r="W4" s="1" t="n">
        <x:f>T4</x:f>
        <x:v>72.5</x:v>
      </x:c>
    </x:row>
    <x:row r="5">
      <x:c r="A5" s="1" t="str">
        <x:v>RT-20260502-R001</x:v>
      </x:c>
      <x:c r="B5" s="1" t="str">
        <x:v>2026-05-02</x:v>
      </x:c>
      <x:c r="C5" s="1" t="str">
        <x:v>R001</x:v>
      </x:c>
      <x:c r="D5" s="1" t="str">
        <x:v>Carlos Mejía</x:v>
      </x:c>
      <x:c r="E5" s="1" t="str">
        <x:v>V001</x:v>
      </x:c>
      <x:c r="F5" s="1" t="str">
        <x:v>Pickup con carrocería</x:v>
      </x:c>
      <x:c r="G5" s="1" t="n">
        <x:v>1</x:v>
      </x:c>
      <x:c r="H5" s="5" t="n">
        <x:f>ROUND(2*T5+U5,2)</x:f>
        <x:v>5.2</x:v>
      </x:c>
      <x:c r="I5" s="5" t="n">
        <x:f>MIN(H5,ROUND(T5+V5+W5,2))</x:f>
        <x:v>5.2</x:v>
      </x:c>
      <x:c r="J5" s="5" t="n">
        <x:f>ROUND(H5-I5,2)</x:f>
        <x:v>0</x:v>
      </x:c>
      <x:c r="K5" s="5" t="n">
        <x:f>IF(H5=0,0,ROUND(100*J5/H5,2))</x:f>
        <x:v>0</x:v>
      </x:c>
      <x:c r="L5" s="5" t="n">
        <x:f>SUMIF(Pedidos!$L$2:$L$231,A5,Pedidos!$Q$2:$Q$231)</x:f>
        <x:v>18.02</x:v>
      </x:c>
      <x:c r="M5" s="5" t="n">
        <x:f>IF(J5=0,L5,MIN(L5,ROUND(I5/Vehiculos!$E$2*Vehiculos!$F$2,2)))</x:f>
        <x:v>18.02</x:v>
      </x:c>
      <x:c r="N5" s="5" t="n">
        <x:f>ROUND(L5-M5,2)</x:f>
        <x:v>0</x:v>
      </x:c>
      <x:c r="O5" s="5" t="n">
        <x:f>ROUND(H5/Vehiculos!$G$2*60+G5*8,0)</x:f>
        <x:v>14</x:v>
      </x:c>
      <x:c r="P5" s="5" t="n">
        <x:f>MIN(O5,ROUND(I5/Vehiculos!$G$2*60+G5*8,0))</x:f>
        <x:v>14</x:v>
      </x:c>
      <x:c r="Q5" s="5" t="n">
        <x:f>O5-P5</x:f>
        <x:v>0</x:v>
      </x:c>
      <x:c r="R5" s="1" t="str">
        <x:v>P0014</x:v>
      </x:c>
      <x:c r="S5" s="1" t="str">
        <x:v>La Ceiba</x:v>
      </x:c>
      <x:c r="T5" s="1" t="n">
        <x:f>Parametros_Operacion!$B$6</x:f>
        <x:v>0</x:v>
      </x:c>
      <x:c r="U5" s="1" t="n">
        <x:v>5.2</x:v>
      </x:c>
      <x:c r="V5" s="1" t="n">
        <x:v>5.2</x:v>
      </x:c>
      <x:c r="W5" s="1" t="n">
        <x:f>T5</x:f>
        <x:v>0</x:v>
      </x:c>
    </x:row>
    <x:row r="6">
      <x:c r="A6" s="1" t="str">
        <x:v>RT-20260502-R003</x:v>
      </x:c>
      <x:c r="B6" s="1" t="str">
        <x:v>2026-05-02</x:v>
      </x:c>
      <x:c r="C6" s="1" t="str">
        <x:v>R003</x:v>
      </x:c>
      <x:c r="D6" s="1" t="str">
        <x:v>Luis Ramírez</x:v>
      </x:c>
      <x:c r="E6" s="1" t="str">
        <x:v>V003</x:v>
      </x:c>
      <x:c r="F6" s="1" t="str">
        <x:v>Pickup con carrocería</x:v>
      </x:c>
      <x:c r="G6" s="1" t="n">
        <x:v>1</x:v>
      </x:c>
      <x:c r="H6" s="5" t="n">
        <x:f>ROUND(2*T6+U6,2)</x:f>
        <x:v>68.04</x:v>
      </x:c>
      <x:c r="I6" s="5" t="n">
        <x:f>MIN(H6,ROUND(T6+V6+W6,2))</x:f>
        <x:v>68.04</x:v>
      </x:c>
      <x:c r="J6" s="5" t="n">
        <x:f>ROUND(H6-I6,2)</x:f>
        <x:v>0</x:v>
      </x:c>
      <x:c r="K6" s="5" t="n">
        <x:f>IF(H6=0,0,ROUND(100*J6/H6,2))</x:f>
        <x:v>0</x:v>
      </x:c>
      <x:c r="L6" s="5" t="n">
        <x:f>SUMIF(Pedidos!$L$2:$L$231,A6,Pedidos!$Q$2:$Q$231)</x:f>
        <x:v>259.4</x:v>
      </x:c>
      <x:c r="M6" s="5" t="n">
        <x:f>IF(J6=0,L6,MIN(L6,ROUND(I6/Vehiculos!$E$4*Vehiculos!$F$4,2)))</x:f>
        <x:v>259.4</x:v>
      </x:c>
      <x:c r="N6" s="5" t="n">
        <x:f>ROUND(L6-M6,2)</x:f>
        <x:v>0</x:v>
      </x:c>
      <x:c r="O6" s="5" t="n">
        <x:f>ROUND(H6/Vehiculos!$G$4*60+G6*8,0)</x:f>
        <x:v>95</x:v>
      </x:c>
      <x:c r="P6" s="5" t="n">
        <x:f>MIN(O6,ROUND(I6/Vehiculos!$G$4*60+G6*8,0))</x:f>
        <x:v>95</x:v>
      </x:c>
      <x:c r="Q6" s="5" t="n">
        <x:f>O6-P6</x:f>
        <x:v>0</x:v>
      </x:c>
      <x:c r="R6" s="1" t="str">
        <x:v>P0013</x:v>
      </x:c>
      <x:c r="S6" s="1" t="str">
        <x:v>Jutiapa</x:v>
      </x:c>
      <x:c r="T6" s="1" t="n">
        <x:f>Parametros_Operacion!$B$5</x:f>
        <x:v>31.4</x:v>
      </x:c>
      <x:c r="U6" s="1" t="n">
        <x:v>5.24</x:v>
      </x:c>
      <x:c r="V6" s="1" t="n">
        <x:v>5.24</x:v>
      </x:c>
      <x:c r="W6" s="1" t="n">
        <x:f>T6</x:f>
        <x:v>31.4</x:v>
      </x:c>
    </x:row>
    <x:row r="7">
      <x:c r="A7" s="1" t="str">
        <x:v>RT-20260502-R004</x:v>
      </x:c>
      <x:c r="B7" s="1" t="str">
        <x:v>2026-05-02</x:v>
      </x:c>
      <x:c r="C7" s="1" t="str">
        <x:v>R004</x:v>
      </x:c>
      <x:c r="D7" s="1" t="str">
        <x:v>Daniela Cruz</x:v>
      </x:c>
      <x:c r="E7" s="1" t="str">
        <x:v>V004</x:v>
      </x:c>
      <x:c r="F7" s="1" t="str">
        <x:v>Pickup con carrocería</x:v>
      </x:c>
      <x:c r="G7" s="1" t="n">
        <x:v>1</x:v>
      </x:c>
      <x:c r="H7" s="5" t="n">
        <x:f>ROUND(2*T7+U7,2)</x:f>
        <x:v>87.4</x:v>
      </x:c>
      <x:c r="I7" s="5" t="n">
        <x:f>MIN(H7,ROUND(T7+V7+W7,2))</x:f>
        <x:v>87.4</x:v>
      </x:c>
      <x:c r="J7" s="5" t="n">
        <x:f>ROUND(H7-I7,2)</x:f>
        <x:v>0</x:v>
      </x:c>
      <x:c r="K7" s="5" t="n">
        <x:f>IF(H7=0,0,ROUND(100*J7/H7,2))</x:f>
        <x:v>0</x:v>
      </x:c>
      <x:c r="L7" s="5" t="n">
        <x:f>SUMIF(Pedidos!$L$2:$L$231,A7,Pedidos!$Q$2:$Q$231)</x:f>
        <x:v>317.35</x:v>
      </x:c>
      <x:c r="M7" s="5" t="n">
        <x:f>IF(J7=0,L7,MIN(L7,ROUND(I7/Vehiculos!$E$5*Vehiculos!$F$5,2)))</x:f>
        <x:v>317.35</x:v>
      </x:c>
      <x:c r="N7" s="5" t="n">
        <x:f>ROUND(L7-M7,2)</x:f>
        <x:v>0</x:v>
      </x:c>
      <x:c r="O7" s="5" t="n">
        <x:f>ROUND(H7/Vehiculos!$G$5*60+G7*8,0)</x:f>
        <x:v>115</x:v>
      </x:c>
      <x:c r="P7" s="5" t="n">
        <x:f>MIN(O7,ROUND(I7/Vehiculos!$G$5*60+G7*8,0))</x:f>
        <x:v>115</x:v>
      </x:c>
      <x:c r="Q7" s="5" t="n">
        <x:f>O7-P7</x:f>
        <x:v>0</x:v>
      </x:c>
      <x:c r="R7" s="1" t="str">
        <x:v>P0011</x:v>
      </x:c>
      <x:c r="S7" s="1" t="str">
        <x:v>La Masica</x:v>
      </x:c>
      <x:c r="T7" s="1" t="n">
        <x:f>Parametros_Operacion!$B$7</x:f>
        <x:v>41.2</x:v>
      </x:c>
      <x:c r="U7" s="1" t="n">
        <x:v>5</x:v>
      </x:c>
      <x:c r="V7" s="1" t="n">
        <x:v>5</x:v>
      </x:c>
      <x:c r="W7" s="1" t="n">
        <x:f>T7</x:f>
        <x:v>41.2</x:v>
      </x:c>
    </x:row>
    <x:row r="8">
      <x:c r="A8" s="1" t="str">
        <x:v>RT-20260503-R001</x:v>
      </x:c>
      <x:c r="B8" s="1" t="str">
        <x:v>2026-05-03</x:v>
      </x:c>
      <x:c r="C8" s="1" t="str">
        <x:v>R001</x:v>
      </x:c>
      <x:c r="D8" s="1" t="str">
        <x:v>Carlos Mejía</x:v>
      </x:c>
      <x:c r="E8" s="1" t="str">
        <x:v>V001</x:v>
      </x:c>
      <x:c r="F8" s="1" t="str">
        <x:v>Pickup con carrocería</x:v>
      </x:c>
      <x:c r="G8" s="1" t="n">
        <x:v>1</x:v>
      </x:c>
      <x:c r="H8" s="5" t="n">
        <x:f>ROUND(2*T8+U8,2)</x:f>
        <x:v>7.98</x:v>
      </x:c>
      <x:c r="I8" s="5" t="n">
        <x:f>MIN(H8,ROUND(T8+V8+W8,2))</x:f>
        <x:v>7.98</x:v>
      </x:c>
      <x:c r="J8" s="5" t="n">
        <x:f>ROUND(H8-I8,2)</x:f>
        <x:v>0</x:v>
      </x:c>
      <x:c r="K8" s="5" t="n">
        <x:f>IF(H8=0,0,ROUND(100*J8/H8,2))</x:f>
        <x:v>0</x:v>
      </x:c>
      <x:c r="L8" s="5" t="n">
        <x:f>SUMIF(Pedidos!$L$2:$L$231,A8,Pedidos!$Q$2:$Q$231)</x:f>
        <x:v>27.66</x:v>
      </x:c>
      <x:c r="M8" s="5" t="n">
        <x:f>IF(J8=0,L8,MIN(L8,ROUND(I8/Vehiculos!$E$2*Vehiculos!$F$2,2)))</x:f>
        <x:v>27.66</x:v>
      </x:c>
      <x:c r="N8" s="5" t="n">
        <x:f>ROUND(L8-M8,2)</x:f>
        <x:v>0</x:v>
      </x:c>
      <x:c r="O8" s="5" t="n">
        <x:f>ROUND(H8/Vehiculos!$G$2*60+G8*8,0)</x:f>
        <x:v>18</x:v>
      </x:c>
      <x:c r="P8" s="5" t="n">
        <x:f>MIN(O8,ROUND(I8/Vehiculos!$G$2*60+G8*8,0))</x:f>
        <x:v>18</x:v>
      </x:c>
      <x:c r="Q8" s="5" t="n">
        <x:f>O8-P8</x:f>
        <x:v>0</x:v>
      </x:c>
      <x:c r="R8" s="1" t="str">
        <x:v>P0028</x:v>
      </x:c>
      <x:c r="S8" s="1" t="str">
        <x:v>La Ceiba</x:v>
      </x:c>
      <x:c r="T8" s="1" t="n">
        <x:f>Parametros_Operacion!$B$6</x:f>
        <x:v>0</x:v>
      </x:c>
      <x:c r="U8" s="1" t="n">
        <x:v>7.98</x:v>
      </x:c>
      <x:c r="V8" s="1" t="n">
        <x:v>7.98</x:v>
      </x:c>
      <x:c r="W8" s="1" t="n">
        <x:f>T8</x:f>
        <x:v>0</x:v>
      </x:c>
    </x:row>
    <x:row r="9">
      <x:c r="A9" s="1" t="str">
        <x:v>RT-20260503-R002</x:v>
      </x:c>
      <x:c r="B9" s="1" t="str">
        <x:v>2026-05-03</x:v>
      </x:c>
      <x:c r="C9" s="1" t="str">
        <x:v>R002</x:v>
      </x:c>
      <x:c r="D9" s="1" t="str">
        <x:v>Ana López</x:v>
      </x:c>
      <x:c r="E9" s="1" t="str">
        <x:v>V002</x:v>
      </x:c>
      <x:c r="F9" s="1" t="str">
        <x:v>Pickup con carrocería</x:v>
      </x:c>
      <x:c r="G9" s="1" t="n">
        <x:v>1</x:v>
      </x:c>
      <x:c r="H9" s="5" t="n">
        <x:f>ROUND(2*T9+U9,2)</x:f>
        <x:v>213.9</x:v>
      </x:c>
      <x:c r="I9" s="5" t="n">
        <x:f>MIN(H9,ROUND(T9+V9+W9,2))</x:f>
        <x:v>213.9</x:v>
      </x:c>
      <x:c r="J9" s="5" t="n">
        <x:f>ROUND(H9-I9,2)</x:f>
        <x:v>0</x:v>
      </x:c>
      <x:c r="K9" s="5" t="n">
        <x:f>IF(H9=0,0,ROUND(100*J9/H9,2))</x:f>
        <x:v>0</x:v>
      </x:c>
      <x:c r="L9" s="5" t="n">
        <x:f>SUMIF(Pedidos!$L$2:$L$231,A9,Pedidos!$Q$2:$Q$231)</x:f>
        <x:v>776.67</x:v>
      </x:c>
      <x:c r="M9" s="5" t="n">
        <x:f>IF(J9=0,L9,MIN(L9,ROUND(I9/Vehiculos!$E$3*Vehiculos!$F$3,2)))</x:f>
        <x:v>776.67</x:v>
      </x:c>
      <x:c r="N9" s="5" t="n">
        <x:f>ROUND(L9-M9,2)</x:f>
        <x:v>0</x:v>
      </x:c>
      <x:c r="O9" s="5" t="n">
        <x:f>ROUND(H9/Vehiculos!$G$3*60+G9*8,0)</x:f>
        <x:v>275</x:v>
      </x:c>
      <x:c r="P9" s="5" t="n">
        <x:f>MIN(O9,ROUND(I9/Vehiculos!$G$3*60+G9*8,0))</x:f>
        <x:v>275</x:v>
      </x:c>
      <x:c r="Q9" s="5" t="n">
        <x:f>O9-P9</x:f>
        <x:v>0</x:v>
      </x:c>
      <x:c r="R9" s="1" t="str">
        <x:v>P0033</x:v>
      </x:c>
      <x:c r="S9" s="1" t="str">
        <x:v>Tela</x:v>
      </x:c>
      <x:c r="T9" s="1" t="n">
        <x:f>Parametros_Operacion!$B$9</x:f>
        <x:v>102.3</x:v>
      </x:c>
      <x:c r="U9" s="1" t="n">
        <x:v>9.3</x:v>
      </x:c>
      <x:c r="V9" s="1" t="n">
        <x:v>9.3</x:v>
      </x:c>
      <x:c r="W9" s="1" t="n">
        <x:f>T9</x:f>
        <x:v>102.3</x:v>
      </x:c>
    </x:row>
    <x:row r="10">
      <x:c r="A10" s="1" t="str">
        <x:v>RT-20260503-R003</x:v>
      </x:c>
      <x:c r="B10" s="1" t="str">
        <x:v>2026-05-03</x:v>
      </x:c>
      <x:c r="C10" s="1" t="str">
        <x:v>R003</x:v>
      </x:c>
      <x:c r="D10" s="1" t="str">
        <x:v>Luis Ramírez</x:v>
      </x:c>
      <x:c r="E10" s="1" t="str">
        <x:v>V003</x:v>
      </x:c>
      <x:c r="F10" s="1" t="str">
        <x:v>Pickup con carrocería</x:v>
      </x:c>
      <x:c r="G10" s="1" t="n">
        <x:v>1</x:v>
      </x:c>
      <x:c r="H10" s="5" t="n">
        <x:f>ROUND(2*T10+U10,2)</x:f>
        <x:v>64.42</x:v>
      </x:c>
      <x:c r="I10" s="5" t="n">
        <x:f>MIN(H10,ROUND(T10+V10+W10,2))</x:f>
        <x:v>64.42</x:v>
      </x:c>
      <x:c r="J10" s="5" t="n">
        <x:f>ROUND(H10-I10,2)</x:f>
        <x:v>0</x:v>
      </x:c>
      <x:c r="K10" s="5" t="n">
        <x:f>IF(H10=0,0,ROUND(100*J10/H10,2))</x:f>
        <x:v>0</x:v>
      </x:c>
      <x:c r="L10" s="5" t="n">
        <x:f>SUMIF(Pedidos!$L$2:$L$231,A10,Pedidos!$Q$2:$Q$231)</x:f>
        <x:v>245.6</x:v>
      </x:c>
      <x:c r="M10" s="5" t="n">
        <x:f>IF(J10=0,L10,MIN(L10,ROUND(I10/Vehiculos!$E$4*Vehiculos!$F$4,2)))</x:f>
        <x:v>245.6</x:v>
      </x:c>
      <x:c r="N10" s="5" t="n">
        <x:f>ROUND(L10-M10,2)</x:f>
        <x:v>0</x:v>
      </x:c>
      <x:c r="O10" s="5" t="n">
        <x:f>ROUND(H10/Vehiculos!$G$4*60+G10*8,0)</x:f>
        <x:v>90</x:v>
      </x:c>
      <x:c r="P10" s="5" t="n">
        <x:f>MIN(O10,ROUND(I10/Vehiculos!$G$4*60+G10*8,0))</x:f>
        <x:v>90</x:v>
      </x:c>
      <x:c r="Q10" s="5" t="n">
        <x:f>O10-P10</x:f>
        <x:v>0</x:v>
      </x:c>
      <x:c r="R10" s="1" t="str">
        <x:v>P0027</x:v>
      </x:c>
      <x:c r="S10" s="1" t="str">
        <x:v>Jutiapa</x:v>
      </x:c>
      <x:c r="T10" s="1" t="n">
        <x:f>Parametros_Operacion!$B$5</x:f>
        <x:v>31.4</x:v>
      </x:c>
      <x:c r="U10" s="1" t="n">
        <x:v>1.62</x:v>
      </x:c>
      <x:c r="V10" s="1" t="n">
        <x:v>1.62</x:v>
      </x:c>
      <x:c r="W10" s="1" t="n">
        <x:f>T10</x:f>
        <x:v>31.4</x:v>
      </x:c>
    </x:row>
    <x:row r="11">
      <x:c r="A11" s="1" t="str">
        <x:v>RT-20260504-R004</x:v>
      </x:c>
      <x:c r="B11" s="1" t="str">
        <x:v>2026-05-04</x:v>
      </x:c>
      <x:c r="C11" s="1" t="str">
        <x:v>R004</x:v>
      </x:c>
      <x:c r="D11" s="1" t="str">
        <x:v>Daniela Cruz</x:v>
      </x:c>
      <x:c r="E11" s="1" t="str">
        <x:v>V004</x:v>
      </x:c>
      <x:c r="F11" s="1" t="str">
        <x:v>Pickup con carrocería</x:v>
      </x:c>
      <x:c r="G11" s="1" t="n">
        <x:v>1</x:v>
      </x:c>
      <x:c r="H11" s="5" t="n">
        <x:f>ROUND(2*T11+U11,2)</x:f>
        <x:v>91.56</x:v>
      </x:c>
      <x:c r="I11" s="5" t="n">
        <x:f>MIN(H11,ROUND(T11+V11+W11,2))</x:f>
        <x:v>91.56</x:v>
      </x:c>
      <x:c r="J11" s="5" t="n">
        <x:f>ROUND(H11-I11,2)</x:f>
        <x:v>0</x:v>
      </x:c>
      <x:c r="K11" s="5" t="n">
        <x:f>IF(H11=0,0,ROUND(100*J11/H11,2))</x:f>
        <x:v>0</x:v>
      </x:c>
      <x:c r="L11" s="5" t="n">
        <x:f>SUMIF(Pedidos!$L$2:$L$231,A11,Pedidos!$Q$2:$Q$231)</x:f>
        <x:v>332.45</x:v>
      </x:c>
      <x:c r="M11" s="5" t="n">
        <x:f>IF(J11=0,L11,MIN(L11,ROUND(I11/Vehiculos!$E$5*Vehiculos!$F$5,2)))</x:f>
        <x:v>332.45</x:v>
      </x:c>
      <x:c r="N11" s="5" t="n">
        <x:f>ROUND(L11-M11,2)</x:f>
        <x:v>0</x:v>
      </x:c>
      <x:c r="O11" s="5" t="n">
        <x:f>ROUND(H11/Vehiculos!$G$5*60+G11*8,0)</x:f>
        <x:v>120</x:v>
      </x:c>
      <x:c r="P11" s="5" t="n">
        <x:f>MIN(O11,ROUND(I11/Vehiculos!$G$5*60+G11*8,0))</x:f>
        <x:v>120</x:v>
      </x:c>
      <x:c r="Q11" s="5" t="n">
        <x:f>O11-P11</x:f>
        <x:v>0</x:v>
      </x:c>
      <x:c r="R11" s="1" t="str">
        <x:v>P0038</x:v>
      </x:c>
      <x:c r="S11" s="1" t="str">
        <x:v>La Masica</x:v>
      </x:c>
      <x:c r="T11" s="1" t="n">
        <x:f>Parametros_Operacion!$B$7</x:f>
        <x:v>41.2</x:v>
      </x:c>
      <x:c r="U11" s="1" t="n">
        <x:v>9.16</x:v>
      </x:c>
      <x:c r="V11" s="1" t="n">
        <x:v>9.16</x:v>
      </x:c>
      <x:c r="W11" s="1" t="n">
        <x:f>T11</x:f>
        <x:v>41.2</x:v>
      </x:c>
    </x:row>
    <x:row r="12">
      <x:c r="A12" s="1" t="str">
        <x:v>RT-20260504-R005</x:v>
      </x:c>
      <x:c r="B12" s="1" t="str">
        <x:v>2026-05-04</x:v>
      </x:c>
      <x:c r="C12" s="1" t="str">
        <x:v>R005</x:v>
      </x:c>
      <x:c r="D12" s="1" t="str">
        <x:v>José Martínez</x:v>
      </x:c>
      <x:c r="E12" s="1" t="str">
        <x:v>V005</x:v>
      </x:c>
      <x:c r="F12" s="1" t="str">
        <x:v>Camión pequeño</x:v>
      </x:c>
      <x:c r="G12" s="1" t="n">
        <x:v>1</x:v>
      </x:c>
      <x:c r="H12" s="5" t="n">
        <x:f>ROUND(2*T12+U12,2)</x:f>
        <x:v>76.04</x:v>
      </x:c>
      <x:c r="I12" s="5" t="n">
        <x:f>MIN(H12,ROUND(T12+V12+W12,2))</x:f>
        <x:v>76.04</x:v>
      </x:c>
      <x:c r="J12" s="5" t="n">
        <x:f>ROUND(H12-I12,2)</x:f>
        <x:v>0</x:v>
      </x:c>
      <x:c r="K12" s="5" t="n">
        <x:f>IF(H12=0,0,ROUND(100*J12/H12,2))</x:f>
        <x:v>0</x:v>
      </x:c>
      <x:c r="L12" s="5" t="n">
        <x:f>SUMIF(Pedidos!$L$2:$L$231,A12,Pedidos!$Q$2:$Q$231)</x:f>
        <x:v>362.38</x:v>
      </x:c>
      <x:c r="M12" s="5" t="n">
        <x:f>IF(J12=0,L12,MIN(L12,ROUND(I12/Vehiculos!$E$6*Vehiculos!$F$6,2)))</x:f>
        <x:v>362.38</x:v>
      </x:c>
      <x:c r="N12" s="5" t="n">
        <x:f>ROUND(L12-M12,2)</x:f>
        <x:v>0</x:v>
      </x:c>
      <x:c r="O12" s="5" t="n">
        <x:f>ROUND(H12/Vehiculos!$G$6*60+G12*8,0)</x:f>
        <x:v>114</x:v>
      </x:c>
      <x:c r="P12" s="5" t="n">
        <x:f>MIN(O12,ROUND(I12/Vehiculos!$G$6*60+G12*8,0))</x:f>
        <x:v>114</x:v>
      </x:c>
      <x:c r="Q12" s="5" t="n">
        <x:f>O12-P12</x:f>
        <x:v>0</x:v>
      </x:c>
      <x:c r="R12" s="1" t="str">
        <x:v>P0007</x:v>
      </x:c>
      <x:c r="S12" s="1" t="str">
        <x:v>San Francisco</x:v>
      </x:c>
      <x:c r="T12" s="1" t="n">
        <x:f>Parametros_Operacion!$B$8</x:f>
        <x:v>35</x:v>
      </x:c>
      <x:c r="U12" s="1" t="n">
        <x:v>6.04</x:v>
      </x:c>
      <x:c r="V12" s="1" t="n">
        <x:v>6.04</x:v>
      </x:c>
      <x:c r="W12" s="1" t="n">
        <x:f>T12</x:f>
        <x:v>35</x:v>
      </x:c>
    </x:row>
    <x:row r="13">
      <x:c r="A13" s="1" t="str">
        <x:v>RT-20260504-R007</x:v>
      </x:c>
      <x:c r="B13" s="1" t="str">
        <x:v>2026-05-04</x:v>
      </x:c>
      <x:c r="C13" s="1" t="str">
        <x:v>R007</x:v>
      </x:c>
      <x:c r="D13" s="1" t="str">
        <x:v>María Hernández</x:v>
      </x:c>
      <x:c r="E13" s="1" t="str">
        <x:v>V007</x:v>
      </x:c>
      <x:c r="F13" s="1" t="str">
        <x:v>Pickup con carrocería</x:v>
      </x:c>
      <x:c r="G13" s="1" t="n">
        <x:v>3</x:v>
      </x:c>
      <x:c r="H13" s="5" t="n">
        <x:f>ROUND(2*T13+U13,2)</x:f>
        <x:v>158.09</x:v>
      </x:c>
      <x:c r="I13" s="5" t="n">
        <x:f>MIN(H13,ROUND(T13+V13+W13,2))</x:f>
        <x:v>158.09</x:v>
      </x:c>
      <x:c r="J13" s="5" t="n">
        <x:f>ROUND(H13-I13,2)</x:f>
        <x:v>0</x:v>
      </x:c>
      <x:c r="K13" s="5" t="n">
        <x:f>IF(H13=0,0,ROUND(100*J13/H13,2))</x:f>
        <x:v>0</x:v>
      </x:c>
      <x:c r="L13" s="5" t="n">
        <x:f>SUMIF(Pedidos!$L$2:$L$231,A13,Pedidos!$Q$2:$Q$231)</x:f>
        <x:v>602.72</x:v>
      </x:c>
      <x:c r="M13" s="5" t="n">
        <x:f>IF(J13=0,L13,MIN(L13,ROUND(I13/Vehiculos!$E$8*Vehiculos!$F$8,2)))</x:f>
        <x:v>602.72</x:v>
      </x:c>
      <x:c r="N13" s="5" t="n">
        <x:f>ROUND(L13-M13,2)</x:f>
        <x:v>0</x:v>
      </x:c>
      <x:c r="O13" s="5" t="n">
        <x:f>ROUND(H13/Vehiculos!$G$8*60+G13*8,0)</x:f>
        <x:v>230</x:v>
      </x:c>
      <x:c r="P13" s="5" t="n">
        <x:f>MIN(O13,ROUND(I13/Vehiculos!$G$8*60+G13*8,0))</x:f>
        <x:v>230</x:v>
      </x:c>
      <x:c r="Q13" s="5" t="n">
        <x:f>O13-P13</x:f>
        <x:v>0</x:v>
      </x:c>
      <x:c r="R13" s="1" t="str">
        <x:v>P0035 &gt; P0004 &gt; P0009</x:v>
      </x:c>
      <x:c r="S13" s="1" t="str">
        <x:v>Esparta</x:v>
      </x:c>
      <x:c r="T13" s="1" t="n">
        <x:f>Parametros_Operacion!$B$4</x:f>
        <x:v>75.5</x:v>
      </x:c>
      <x:c r="U13" s="1" t="n">
        <x:v>7.09</x:v>
      </x:c>
      <x:c r="V13" s="1" t="n">
        <x:v>7.09</x:v>
      </x:c>
      <x:c r="W13" s="1" t="n">
        <x:f>T13</x:f>
        <x:v>75.5</x:v>
      </x:c>
    </x:row>
    <x:row r="14">
      <x:c r="A14" s="1" t="str">
        <x:v>RT-20260505-R001</x:v>
      </x:c>
      <x:c r="B14" s="1" t="str">
        <x:v>2026-05-05</x:v>
      </x:c>
      <x:c r="C14" s="1" t="str">
        <x:v>R001</x:v>
      </x:c>
      <x:c r="D14" s="1" t="str">
        <x:v>Carlos Mejía</x:v>
      </x:c>
      <x:c r="E14" s="1" t="str">
        <x:v>V001</x:v>
      </x:c>
      <x:c r="F14" s="1" t="str">
        <x:v>Pickup con carrocería</x:v>
      </x:c>
      <x:c r="G14" s="1" t="n">
        <x:v>1</x:v>
      </x:c>
      <x:c r="H14" s="5" t="n">
        <x:f>ROUND(2*T14+U14,2)</x:f>
        <x:v>5.2</x:v>
      </x:c>
      <x:c r="I14" s="5" t="n">
        <x:f>MIN(H14,ROUND(T14+V14+W14,2))</x:f>
        <x:v>5.2</x:v>
      </x:c>
      <x:c r="J14" s="5" t="n">
        <x:f>ROUND(H14-I14,2)</x:f>
        <x:v>0</x:v>
      </x:c>
      <x:c r="K14" s="5" t="n">
        <x:f>IF(H14=0,0,ROUND(100*J14/H14,2))</x:f>
        <x:v>0</x:v>
      </x:c>
      <x:c r="L14" s="5" t="n">
        <x:f>SUMIF(Pedidos!$L$2:$L$231,A14,Pedidos!$Q$2:$Q$231)</x:f>
        <x:v>18.02</x:v>
      </x:c>
      <x:c r="M14" s="5" t="n">
        <x:f>IF(J14=0,L14,MIN(L14,ROUND(I14/Vehiculos!$E$2*Vehiculos!$F$2,2)))</x:f>
        <x:v>18.02</x:v>
      </x:c>
      <x:c r="N14" s="5" t="n">
        <x:f>ROUND(L14-M14,2)</x:f>
        <x:v>0</x:v>
      </x:c>
      <x:c r="O14" s="5" t="n">
        <x:f>ROUND(H14/Vehiculos!$G$2*60+G14*8,0)</x:f>
        <x:v>14</x:v>
      </x:c>
      <x:c r="P14" s="5" t="n">
        <x:f>MIN(O14,ROUND(I14/Vehiculos!$G$2*60+G14*8,0))</x:f>
        <x:v>14</x:v>
      </x:c>
      <x:c r="Q14" s="5" t="n">
        <x:f>O14-P14</x:f>
        <x:v>0</x:v>
      </x:c>
      <x:c r="R14" s="1" t="str">
        <x:v>P0015</x:v>
      </x:c>
      <x:c r="S14" s="1" t="str">
        <x:v>La Ceiba</x:v>
      </x:c>
      <x:c r="T14" s="1" t="n">
        <x:f>Parametros_Operacion!$B$6</x:f>
        <x:v>0</x:v>
      </x:c>
      <x:c r="U14" s="1" t="n">
        <x:v>5.2</x:v>
      </x:c>
      <x:c r="V14" s="1" t="n">
        <x:v>5.2</x:v>
      </x:c>
      <x:c r="W14" s="1" t="n">
        <x:f>T14</x:f>
        <x:v>0</x:v>
      </x:c>
    </x:row>
    <x:row r="15">
      <x:c r="A15" s="1" t="str">
        <x:v>RT-20260505-R004</x:v>
      </x:c>
      <x:c r="B15" s="1" t="str">
        <x:v>2026-05-05</x:v>
      </x:c>
      <x:c r="C15" s="1" t="str">
        <x:v>R004</x:v>
      </x:c>
      <x:c r="D15" s="1" t="str">
        <x:v>Daniela Cruz</x:v>
      </x:c>
      <x:c r="E15" s="1" t="str">
        <x:v>V004</x:v>
      </x:c>
      <x:c r="F15" s="1" t="str">
        <x:v>Pickup con carrocería</x:v>
      </x:c>
      <x:c r="G15" s="1" t="n">
        <x:v>2</x:v>
      </x:c>
      <x:c r="H15" s="5" t="n">
        <x:f>ROUND(2*T15+U15,2)</x:f>
        <x:v>99.48</x:v>
      </x:c>
      <x:c r="I15" s="5" t="n">
        <x:f>MIN(H15,ROUND(T15+V15+W15,2))</x:f>
        <x:v>99.48</x:v>
      </x:c>
      <x:c r="J15" s="5" t="n">
        <x:f>ROUND(H15-I15,2)</x:f>
        <x:v>0</x:v>
      </x:c>
      <x:c r="K15" s="5" t="n">
        <x:f>IF(H15=0,0,ROUND(100*J15/H15,2))</x:f>
        <x:v>0</x:v>
      </x:c>
      <x:c r="L15" s="5" t="n">
        <x:f>SUMIF(Pedidos!$L$2:$L$231,A15,Pedidos!$Q$2:$Q$231)</x:f>
        <x:v>361.21000000000004</x:v>
      </x:c>
      <x:c r="M15" s="5" t="n">
        <x:f>IF(J15=0,L15,MIN(L15,ROUND(I15/Vehiculos!$E$5*Vehiculos!$F$5,2)))</x:f>
        <x:v>361.21000000000004</x:v>
      </x:c>
      <x:c r="N15" s="5" t="n">
        <x:f>ROUND(L15-M15,2)</x:f>
        <x:v>0</x:v>
      </x:c>
      <x:c r="O15" s="5" t="n">
        <x:f>ROUND(H15/Vehiculos!$G$5*60+G15*8,0)</x:f>
        <x:v>138</x:v>
      </x:c>
      <x:c r="P15" s="5" t="n">
        <x:f>MIN(O15,ROUND(I15/Vehiculos!$G$5*60+G15*8,0))</x:f>
        <x:v>138</x:v>
      </x:c>
      <x:c r="Q15" s="5" t="n">
        <x:f>O15-P15</x:f>
        <x:v>0</x:v>
      </x:c>
      <x:c r="R15" s="1" t="str">
        <x:v>P0052 &gt; P0018</x:v>
      </x:c>
      <x:c r="S15" s="1" t="str">
        <x:v>La Masica</x:v>
      </x:c>
      <x:c r="T15" s="1" t="n">
        <x:f>Parametros_Operacion!$B$7</x:f>
        <x:v>41.2</x:v>
      </x:c>
      <x:c r="U15" s="1" t="n">
        <x:v>17.08</x:v>
      </x:c>
      <x:c r="V15" s="1" t="n">
        <x:v>17.08</x:v>
      </x:c>
      <x:c r="W15" s="1" t="n">
        <x:f>T15</x:f>
        <x:v>41.2</x:v>
      </x:c>
    </x:row>
    <x:row r="16">
      <x:c r="A16" s="1" t="str">
        <x:v>RT-20260505-R006</x:v>
      </x:c>
      <x:c r="B16" s="1" t="str">
        <x:v>2026-05-05</x:v>
      </x:c>
      <x:c r="C16" s="1" t="str">
        <x:v>R006</x:v>
      </x:c>
      <x:c r="D16" s="1" t="str">
        <x:v>Kevin Flores</x:v>
      </x:c>
      <x:c r="E16" s="1" t="str">
        <x:v>V006</x:v>
      </x:c>
      <x:c r="F16" s="1" t="str">
        <x:v>Pickup con carrocería</x:v>
      </x:c>
      <x:c r="G16" s="1" t="n">
        <x:v>1</x:v>
      </x:c>
      <x:c r="H16" s="5" t="n">
        <x:f>ROUND(2*T16+U16,2)</x:f>
        <x:v>151.3</x:v>
      </x:c>
      <x:c r="I16" s="5" t="n">
        <x:f>MIN(H16,ROUND(T16+V16+W16,2))</x:f>
        <x:v>151.3</x:v>
      </x:c>
      <x:c r="J16" s="5" t="n">
        <x:f>ROUND(H16-I16,2)</x:f>
        <x:v>0</x:v>
      </x:c>
      <x:c r="K16" s="5" t="n">
        <x:f>IF(H16=0,0,ROUND(100*J16/H16,2))</x:f>
        <x:v>0</x:v>
      </x:c>
      <x:c r="L16" s="5" t="n">
        <x:f>SUMIF(Pedidos!$L$2:$L$231,A16,Pedidos!$Q$2:$Q$231)</x:f>
        <x:v>576.84</x:v>
      </x:c>
      <x:c r="M16" s="5" t="n">
        <x:f>IF(J16=0,L16,MIN(L16,ROUND(I16/Vehiculos!$E$7*Vehiculos!$F$7,2)))</x:f>
        <x:v>576.84</x:v>
      </x:c>
      <x:c r="N16" s="5" t="n">
        <x:f>ROUND(L16-M16,2)</x:f>
        <x:v>0</x:v>
      </x:c>
      <x:c r="O16" s="5" t="n">
        <x:f>ROUND(H16/Vehiculos!$G$7*60+G16*8,0)</x:f>
        <x:v>201</x:v>
      </x:c>
      <x:c r="P16" s="5" t="n">
        <x:f>MIN(O16,ROUND(I16/Vehiculos!$G$7*60+G16*8,0))</x:f>
        <x:v>201</x:v>
      </x:c>
      <x:c r="Q16" s="5" t="n">
        <x:f>O16-P16</x:f>
        <x:v>0</x:v>
      </x:c>
      <x:c r="R16" s="1" t="str">
        <x:v>P0048</x:v>
      </x:c>
      <x:c r="S16" s="1" t="str">
        <x:v>Arizona</x:v>
      </x:c>
      <x:c r="T16" s="1" t="n">
        <x:f>Parametros_Operacion!$B$2</x:f>
        <x:v>72.5</x:v>
      </x:c>
      <x:c r="U16" s="1" t="n">
        <x:v>6.3</x:v>
      </x:c>
      <x:c r="V16" s="1" t="n">
        <x:v>6.3</x:v>
      </x:c>
      <x:c r="W16" s="1" t="n">
        <x:f>T16</x:f>
        <x:v>72.5</x:v>
      </x:c>
    </x:row>
    <x:row r="17">
      <x:c r="A17" s="1" t="str">
        <x:v>RT-20260505-R007</x:v>
      </x:c>
      <x:c r="B17" s="1" t="str">
        <x:v>2026-05-05</x:v>
      </x:c>
      <x:c r="C17" s="1" t="str">
        <x:v>R007</x:v>
      </x:c>
      <x:c r="D17" s="1" t="str">
        <x:v>María Hernández</x:v>
      </x:c>
      <x:c r="E17" s="1" t="str">
        <x:v>V007</x:v>
      </x:c>
      <x:c r="F17" s="1" t="str">
        <x:v>Pickup con carrocería</x:v>
      </x:c>
      <x:c r="G17" s="1" t="n">
        <x:v>2</x:v>
      </x:c>
      <x:c r="H17" s="5" t="n">
        <x:f>ROUND(2*T17+U17,2)</x:f>
        <x:v>160.83</x:v>
      </x:c>
      <x:c r="I17" s="5" t="n">
        <x:f>MIN(H17,ROUND(T17+V17+W17,2))</x:f>
        <x:v>160.83</x:v>
      </x:c>
      <x:c r="J17" s="5" t="n">
        <x:f>ROUND(H17-I17,2)</x:f>
        <x:v>0</x:v>
      </x:c>
      <x:c r="K17" s="5" t="n">
        <x:f>IF(H17=0,0,ROUND(100*J17/H17,2))</x:f>
        <x:v>0</x:v>
      </x:c>
      <x:c r="L17" s="5" t="n">
        <x:f>SUMIF(Pedidos!$L$2:$L$231,A17,Pedidos!$Q$2:$Q$231)</x:f>
        <x:v>613.1700000000001</x:v>
      </x:c>
      <x:c r="M17" s="5" t="n">
        <x:f>IF(J17=0,L17,MIN(L17,ROUND(I17/Vehiculos!$E$8*Vehiculos!$F$8,2)))</x:f>
        <x:v>613.1700000000001</x:v>
      </x:c>
      <x:c r="N17" s="5" t="n">
        <x:f>ROUND(L17-M17,2)</x:f>
        <x:v>0</x:v>
      </x:c>
      <x:c r="O17" s="5" t="n">
        <x:f>ROUND(H17/Vehiculos!$G$8*60+G17*8,0)</x:f>
        <x:v>226</x:v>
      </x:c>
      <x:c r="P17" s="5" t="n">
        <x:f>MIN(O17,ROUND(I17/Vehiculos!$G$8*60+G17*8,0))</x:f>
        <x:v>226</x:v>
      </x:c>
      <x:c r="Q17" s="5" t="n">
        <x:f>O17-P17</x:f>
        <x:v>0</x:v>
      </x:c>
      <x:c r="R17" s="1" t="str">
        <x:v>P0050 &gt; P0012</x:v>
      </x:c>
      <x:c r="S17" s="1" t="str">
        <x:v>Esparta</x:v>
      </x:c>
      <x:c r="T17" s="1" t="n">
        <x:f>Parametros_Operacion!$B$4</x:f>
        <x:v>75.5</x:v>
      </x:c>
      <x:c r="U17" s="1" t="n">
        <x:v>9.83</x:v>
      </x:c>
      <x:c r="V17" s="1" t="n">
        <x:v>9.83</x:v>
      </x:c>
      <x:c r="W17" s="1" t="n">
        <x:f>T17</x:f>
        <x:v>75.5</x:v>
      </x:c>
    </x:row>
    <x:row r="18">
      <x:c r="A18" s="1" t="str">
        <x:v>RT-20260506-R001</x:v>
      </x:c>
      <x:c r="B18" s="1" t="str">
        <x:v>2026-05-06</x:v>
      </x:c>
      <x:c r="C18" s="1" t="str">
        <x:v>R001</x:v>
      </x:c>
      <x:c r="D18" s="1" t="str">
        <x:v>Carlos Mejía</x:v>
      </x:c>
      <x:c r="E18" s="1" t="str">
        <x:v>V001</x:v>
      </x:c>
      <x:c r="F18" s="1" t="str">
        <x:v>Pickup con carrocería</x:v>
      </x:c>
      <x:c r="G18" s="1" t="n">
        <x:v>2</x:v>
      </x:c>
      <x:c r="H18" s="5" t="n">
        <x:f>ROUND(2*T18+U18,2)</x:f>
        <x:v>10.62</x:v>
      </x:c>
      <x:c r="I18" s="5" t="n">
        <x:f>MIN(H18,ROUND(T18+V18+W18,2))</x:f>
        <x:v>10.62</x:v>
      </x:c>
      <x:c r="J18" s="5" t="n">
        <x:f>ROUND(H18-I18,2)</x:f>
        <x:v>0</x:v>
      </x:c>
      <x:c r="K18" s="5" t="n">
        <x:f>IF(H18=0,0,ROUND(100*J18/H18,2))</x:f>
        <x:v>0</x:v>
      </x:c>
      <x:c r="L18" s="5" t="n">
        <x:f>SUMIF(Pedidos!$L$2:$L$231,A18,Pedidos!$Q$2:$Q$231)</x:f>
        <x:v>36.8</x:v>
      </x:c>
      <x:c r="M18" s="5" t="n">
        <x:f>IF(J18=0,L18,MIN(L18,ROUND(I18/Vehiculos!$E$2*Vehiculos!$F$2,2)))</x:f>
        <x:v>36.8</x:v>
      </x:c>
      <x:c r="N18" s="5" t="n">
        <x:f>ROUND(L18-M18,2)</x:f>
        <x:v>0</x:v>
      </x:c>
      <x:c r="O18" s="5" t="n">
        <x:f>ROUND(H18/Vehiculos!$G$2*60+G18*8,0)</x:f>
        <x:v>29</x:v>
      </x:c>
      <x:c r="P18" s="5" t="n">
        <x:f>MIN(O18,ROUND(I18/Vehiculos!$G$2*60+G18*8,0))</x:f>
        <x:v>29</x:v>
      </x:c>
      <x:c r="Q18" s="5" t="n">
        <x:f>O18-P18</x:f>
        <x:v>0</x:v>
      </x:c>
      <x:c r="R18" s="1" t="str">
        <x:v>P0064 &gt; P0032</x:v>
      </x:c>
      <x:c r="S18" s="1" t="str">
        <x:v>La Ceiba</x:v>
      </x:c>
      <x:c r="T18" s="1" t="n">
        <x:f>Parametros_Operacion!$B$6</x:f>
        <x:v>0</x:v>
      </x:c>
      <x:c r="U18" s="1" t="n">
        <x:v>10.62</x:v>
      </x:c>
      <x:c r="V18" s="1" t="n">
        <x:v>10.62</x:v>
      </x:c>
      <x:c r="W18" s="1" t="n">
        <x:f>T18</x:f>
        <x:v>0</x:v>
      </x:c>
    </x:row>
    <x:row r="19">
      <x:c r="A19" s="1" t="str">
        <x:v>RT-20260506-R002</x:v>
      </x:c>
      <x:c r="B19" s="1" t="str">
        <x:v>2026-05-06</x:v>
      </x:c>
      <x:c r="C19" s="1" t="str">
        <x:v>R002</x:v>
      </x:c>
      <x:c r="D19" s="1" t="str">
        <x:v>Ana López</x:v>
      </x:c>
      <x:c r="E19" s="1" t="str">
        <x:v>V002</x:v>
      </x:c>
      <x:c r="F19" s="1" t="str">
        <x:v>Pickup con carrocería</x:v>
      </x:c>
      <x:c r="G19" s="1" t="n">
        <x:v>1</x:v>
      </x:c>
      <x:c r="H19" s="5" t="n">
        <x:f>ROUND(2*T19+U19,2)</x:f>
        <x:v>210.46</x:v>
      </x:c>
      <x:c r="I19" s="5" t="n">
        <x:f>MIN(H19,ROUND(T19+V19+W19,2))</x:f>
        <x:v>210.46</x:v>
      </x:c>
      <x:c r="J19" s="5" t="n">
        <x:f>ROUND(H19-I19,2)</x:f>
        <x:v>0</x:v>
      </x:c>
      <x:c r="K19" s="5" t="n">
        <x:f>IF(H19=0,0,ROUND(100*J19/H19,2))</x:f>
        <x:v>0</x:v>
      </x:c>
      <x:c r="L19" s="5" t="n">
        <x:f>SUMIF(Pedidos!$L$2:$L$231,A19,Pedidos!$Q$2:$Q$231)</x:f>
        <x:v>764.18</x:v>
      </x:c>
      <x:c r="M19" s="5" t="n">
        <x:f>IF(J19=0,L19,MIN(L19,ROUND(I19/Vehiculos!$E$3*Vehiculos!$F$3,2)))</x:f>
        <x:v>764.18</x:v>
      </x:c>
      <x:c r="N19" s="5" t="n">
        <x:f>ROUND(L19-M19,2)</x:f>
        <x:v>0</x:v>
      </x:c>
      <x:c r="O19" s="5" t="n">
        <x:f>ROUND(H19/Vehiculos!$G$3*60+G19*8,0)</x:f>
        <x:v>271</x:v>
      </x:c>
      <x:c r="P19" s="5" t="n">
        <x:f>MIN(O19,ROUND(I19/Vehiculos!$G$3*60+G19*8,0))</x:f>
        <x:v>271</x:v>
      </x:c>
      <x:c r="Q19" s="5" t="n">
        <x:f>O19-P19</x:f>
        <x:v>0</x:v>
      </x:c>
      <x:c r="R19" s="1" t="str">
        <x:v>P0045</x:v>
      </x:c>
      <x:c r="S19" s="1" t="str">
        <x:v>Tela</x:v>
      </x:c>
      <x:c r="T19" s="1" t="n">
        <x:f>Parametros_Operacion!$B$9</x:f>
        <x:v>102.3</x:v>
      </x:c>
      <x:c r="U19" s="1" t="n">
        <x:v>5.86</x:v>
      </x:c>
      <x:c r="V19" s="1" t="n">
        <x:v>5.86</x:v>
      </x:c>
      <x:c r="W19" s="1" t="n">
        <x:f>T19</x:f>
        <x:v>102.3</x:v>
      </x:c>
    </x:row>
    <x:row r="20">
      <x:c r="A20" s="1" t="str">
        <x:v>RT-20260506-R005</x:v>
      </x:c>
      <x:c r="B20" s="1" t="str">
        <x:v>2026-05-06</x:v>
      </x:c>
      <x:c r="C20" s="1" t="str">
        <x:v>R005</x:v>
      </x:c>
      <x:c r="D20" s="1" t="str">
        <x:v>José Martínez</x:v>
      </x:c>
      <x:c r="E20" s="1" t="str">
        <x:v>V005</x:v>
      </x:c>
      <x:c r="F20" s="1" t="str">
        <x:v>Camión pequeño</x:v>
      </x:c>
      <x:c r="G20" s="1" t="n">
        <x:v>1</x:v>
      </x:c>
      <x:c r="H20" s="5" t="n">
        <x:f>ROUND(2*T20+U20,2)</x:f>
        <x:v>75.68</x:v>
      </x:c>
      <x:c r="I20" s="5" t="n">
        <x:f>MIN(H20,ROUND(T20+V20+W20,2))</x:f>
        <x:v>75.68</x:v>
      </x:c>
      <x:c r="J20" s="5" t="n">
        <x:f>ROUND(H20-I20,2)</x:f>
        <x:v>0</x:v>
      </x:c>
      <x:c r="K20" s="5" t="n">
        <x:f>IF(H20=0,0,ROUND(100*J20/H20,2))</x:f>
        <x:v>0</x:v>
      </x:c>
      <x:c r="L20" s="5" t="n">
        <x:f>SUMIF(Pedidos!$L$2:$L$231,A20,Pedidos!$Q$2:$Q$231)</x:f>
        <x:v>360.67</x:v>
      </x:c>
      <x:c r="M20" s="5" t="n">
        <x:f>IF(J20=0,L20,MIN(L20,ROUND(I20/Vehiculos!$E$6*Vehiculos!$F$6,2)))</x:f>
        <x:v>360.67</x:v>
      </x:c>
      <x:c r="N20" s="5" t="n">
        <x:f>ROUND(L20-M20,2)</x:f>
        <x:v>0</x:v>
      </x:c>
      <x:c r="O20" s="5" t="n">
        <x:f>ROUND(H20/Vehiculos!$G$6*60+G20*8,0)</x:f>
        <x:v>114</x:v>
      </x:c>
      <x:c r="P20" s="5" t="n">
        <x:f>MIN(O20,ROUND(I20/Vehiculos!$G$6*60+G20*8,0))</x:f>
        <x:v>114</x:v>
      </x:c>
      <x:c r="Q20" s="5" t="n">
        <x:f>O20-P20</x:f>
        <x:v>0</x:v>
      </x:c>
      <x:c r="R20" s="1" t="str">
        <x:v>P0061</x:v>
      </x:c>
      <x:c r="S20" s="1" t="str">
        <x:v>San Francisco</x:v>
      </x:c>
      <x:c r="T20" s="1" t="n">
        <x:f>Parametros_Operacion!$B$8</x:f>
        <x:v>35</x:v>
      </x:c>
      <x:c r="U20" s="1" t="n">
        <x:v>5.68</x:v>
      </x:c>
      <x:c r="V20" s="1" t="n">
        <x:v>5.68</x:v>
      </x:c>
      <x:c r="W20" s="1" t="n">
        <x:f>T20</x:f>
        <x:v>35</x:v>
      </x:c>
    </x:row>
    <x:row r="21">
      <x:c r="A21" s="1" t="str">
        <x:v>RT-20260506-R007</x:v>
      </x:c>
      <x:c r="B21" s="1" t="str">
        <x:v>2026-05-06</x:v>
      </x:c>
      <x:c r="C21" s="1" t="str">
        <x:v>R007</x:v>
      </x:c>
      <x:c r="D21" s="1" t="str">
        <x:v>María Hernández</x:v>
      </x:c>
      <x:c r="E21" s="1" t="str">
        <x:v>V007</x:v>
      </x:c>
      <x:c r="F21" s="1" t="str">
        <x:v>Pickup con carrocería</x:v>
      </x:c>
      <x:c r="G21" s="1" t="n">
        <x:v>1</x:v>
      </x:c>
      <x:c r="H21" s="5" t="n">
        <x:f>ROUND(2*T21+U21,2)</x:f>
        <x:v>153.3</x:v>
      </x:c>
      <x:c r="I21" s="5" t="n">
        <x:f>MIN(H21,ROUND(T21+V21+W21,2))</x:f>
        <x:v>153.3</x:v>
      </x:c>
      <x:c r="J21" s="5" t="n">
        <x:f>ROUND(H21-I21,2)</x:f>
        <x:v>0</x:v>
      </x:c>
      <x:c r="K21" s="5" t="n">
        <x:f>IF(H21=0,0,ROUND(100*J21/H21,2))</x:f>
        <x:v>0</x:v>
      </x:c>
      <x:c r="L21" s="5" t="n">
        <x:f>SUMIF(Pedidos!$L$2:$L$231,A21,Pedidos!$Q$2:$Q$231)</x:f>
        <x:v>584.46</x:v>
      </x:c>
      <x:c r="M21" s="5" t="n">
        <x:f>IF(J21=0,L21,MIN(L21,ROUND(I21/Vehiculos!$E$8*Vehiculos!$F$8,2)))</x:f>
        <x:v>584.46</x:v>
      </x:c>
      <x:c r="N21" s="5" t="n">
        <x:f>ROUND(L21-M21,2)</x:f>
        <x:v>0</x:v>
      </x:c>
      <x:c r="O21" s="5" t="n">
        <x:f>ROUND(H21/Vehiculos!$G$8*60+G21*8,0)</x:f>
        <x:v>208</x:v>
      </x:c>
      <x:c r="P21" s="5" t="n">
        <x:f>MIN(O21,ROUND(I21/Vehiculos!$G$8*60+G21*8,0))</x:f>
        <x:v>208</x:v>
      </x:c>
      <x:c r="Q21" s="5" t="n">
        <x:f>O21-P21</x:f>
        <x:v>0</x:v>
      </x:c>
      <x:c r="R21" s="1" t="str">
        <x:v>P0059</x:v>
      </x:c>
      <x:c r="S21" s="1" t="str">
        <x:v>Esparta</x:v>
      </x:c>
      <x:c r="T21" s="1" t="n">
        <x:f>Parametros_Operacion!$B$4</x:f>
        <x:v>75.5</x:v>
      </x:c>
      <x:c r="U21" s="1" t="n">
        <x:v>2.3</x:v>
      </x:c>
      <x:c r="V21" s="1" t="n">
        <x:v>2.3</x:v>
      </x:c>
      <x:c r="W21" s="1" t="n">
        <x:f>T21</x:f>
        <x:v>75.5</x:v>
      </x:c>
    </x:row>
    <x:row r="22">
      <x:c r="A22" s="1" t="str">
        <x:v>RT-20260507-R001</x:v>
      </x:c>
      <x:c r="B22" s="1" t="str">
        <x:v>2026-05-07</x:v>
      </x:c>
      <x:c r="C22" s="1" t="str">
        <x:v>R001</x:v>
      </x:c>
      <x:c r="D22" s="1" t="str">
        <x:v>Carlos Mejía</x:v>
      </x:c>
      <x:c r="E22" s="1" t="str">
        <x:v>V001</x:v>
      </x:c>
      <x:c r="F22" s="1" t="str">
        <x:v>Pickup con carrocería</x:v>
      </x:c>
      <x:c r="G22" s="1" t="n">
        <x:v>4</x:v>
      </x:c>
      <x:c r="H22" s="5" t="n">
        <x:f>ROUND(2*T22+U22,2)</x:f>
        <x:v>19.91</x:v>
      </x:c>
      <x:c r="I22" s="5" t="n">
        <x:f>MIN(H22,ROUND(T22+V22+W22,2))</x:f>
        <x:v>18.58</x:v>
      </x:c>
      <x:c r="J22" s="5" t="n">
        <x:f>ROUND(H22-I22,2)</x:f>
        <x:v>1.33</x:v>
      </x:c>
      <x:c r="K22" s="5" t="n">
        <x:f>IF(H22=0,0,ROUND(100*J22/H22,2))</x:f>
        <x:v>6.68</x:v>
      </x:c>
      <x:c r="L22" s="5" t="n">
        <x:f>SUMIF(Pedidos!$L$2:$L$231,A22,Pedidos!$Q$2:$Q$231)</x:f>
        <x:v>69.01</x:v>
      </x:c>
      <x:c r="M22" s="5" t="n">
        <x:f>IF(J22=0,L22,MIN(L22,ROUND(I22/Vehiculos!$E$2*Vehiculos!$F$2,2)))</x:f>
        <x:v>64.4</x:v>
      </x:c>
      <x:c r="N22" s="5" t="n">
        <x:f>ROUND(L22-M22,2)</x:f>
        <x:v>4.61</x:v>
      </x:c>
      <x:c r="O22" s="5" t="n">
        <x:f>ROUND(H22/Vehiculos!$G$2*60+G22*8,0)</x:f>
        <x:v>56</x:v>
      </x:c>
      <x:c r="P22" s="5" t="n">
        <x:f>MIN(O22,ROUND(I22/Vehiculos!$G$2*60+G22*8,0))</x:f>
        <x:v>54</x:v>
      </x:c>
      <x:c r="Q22" s="5" t="n">
        <x:f>O22-P22</x:f>
        <x:v>2</x:v>
      </x:c>
      <x:c r="R22" s="1" t="str">
        <x:v>P0076 &gt; P0074 &gt; P0039 &gt; P0070</x:v>
      </x:c>
      <x:c r="S22" s="1" t="str">
        <x:v>La Ceiba</x:v>
      </x:c>
      <x:c r="T22" s="1" t="n">
        <x:f>Parametros_Operacion!$B$6</x:f>
        <x:v>0</x:v>
      </x:c>
      <x:c r="U22" s="1" t="n">
        <x:v>19.91</x:v>
      </x:c>
      <x:c r="V22" s="1" t="n">
        <x:v>18.58</x:v>
      </x:c>
      <x:c r="W22" s="1" t="n">
        <x:f>T22</x:f>
        <x:v>0</x:v>
      </x:c>
    </x:row>
    <x:row r="23">
      <x:c r="A23" s="1" t="str">
        <x:v>RT-20260507-R004</x:v>
      </x:c>
      <x:c r="B23" s="1" t="str">
        <x:v>2026-05-07</x:v>
      </x:c>
      <x:c r="C23" s="1" t="str">
        <x:v>R004</x:v>
      </x:c>
      <x:c r="D23" s="1" t="str">
        <x:v>Daniela Cruz</x:v>
      </x:c>
      <x:c r="E23" s="1" t="str">
        <x:v>V004</x:v>
      </x:c>
      <x:c r="F23" s="1" t="str">
        <x:v>Pickup con carrocería</x:v>
      </x:c>
      <x:c r="G23" s="1" t="n">
        <x:v>2</x:v>
      </x:c>
      <x:c r="H23" s="5" t="n">
        <x:f>ROUND(2*T23+U23,2)</x:f>
        <x:v>91.95</x:v>
      </x:c>
      <x:c r="I23" s="5" t="n">
        <x:f>MIN(H23,ROUND(T23+V23+W23,2))</x:f>
        <x:v>91.95</x:v>
      </x:c>
      <x:c r="J23" s="5" t="n">
        <x:f>ROUND(H23-I23,2)</x:f>
        <x:v>0</x:v>
      </x:c>
      <x:c r="K23" s="5" t="n">
        <x:f>IF(H23=0,0,ROUND(100*J23/H23,2))</x:f>
        <x:v>0</x:v>
      </x:c>
      <x:c r="L23" s="5" t="n">
        <x:f>SUMIF(Pedidos!$L$2:$L$231,A23,Pedidos!$Q$2:$Q$231)</x:f>
        <x:v>333.87</x:v>
      </x:c>
      <x:c r="M23" s="5" t="n">
        <x:f>IF(J23=0,L23,MIN(L23,ROUND(I23/Vehiculos!$E$5*Vehiculos!$F$5,2)))</x:f>
        <x:v>333.87</x:v>
      </x:c>
      <x:c r="N23" s="5" t="n">
        <x:f>ROUND(L23-M23,2)</x:f>
        <x:v>0</x:v>
      </x:c>
      <x:c r="O23" s="5" t="n">
        <x:f>ROUND(H23/Vehiculos!$G$5*60+G23*8,0)</x:f>
        <x:v>129</x:v>
      </x:c>
      <x:c r="P23" s="5" t="n">
        <x:f>MIN(O23,ROUND(I23/Vehiculos!$G$5*60+G23*8,0))</x:f>
        <x:v>129</x:v>
      </x:c>
      <x:c r="Q23" s="5" t="n">
        <x:f>O23-P23</x:f>
        <x:v>0</x:v>
      </x:c>
      <x:c r="R23" s="1" t="str">
        <x:v>P0036 &gt; P0075</x:v>
      </x:c>
      <x:c r="S23" s="1" t="str">
        <x:v>La Masica</x:v>
      </x:c>
      <x:c r="T23" s="1" t="n">
        <x:f>Parametros_Operacion!$B$7</x:f>
        <x:v>41.2</x:v>
      </x:c>
      <x:c r="U23" s="1" t="n">
        <x:v>9.55</x:v>
      </x:c>
      <x:c r="V23" s="1" t="n">
        <x:v>9.55</x:v>
      </x:c>
      <x:c r="W23" s="1" t="n">
        <x:f>T23</x:f>
        <x:v>41.2</x:v>
      </x:c>
    </x:row>
    <x:row r="24">
      <x:c r="A24" s="1" t="str">
        <x:v>RT-20260507-R006</x:v>
      </x:c>
      <x:c r="B24" s="1" t="str">
        <x:v>2026-05-07</x:v>
      </x:c>
      <x:c r="C24" s="1" t="str">
        <x:v>R006</x:v>
      </x:c>
      <x:c r="D24" s="1" t="str">
        <x:v>Kevin Flores</x:v>
      </x:c>
      <x:c r="E24" s="1" t="str">
        <x:v>V006</x:v>
      </x:c>
      <x:c r="F24" s="1" t="str">
        <x:v>Pickup con carrocería</x:v>
      </x:c>
      <x:c r="G24" s="1" t="n">
        <x:v>1</x:v>
      </x:c>
      <x:c r="H24" s="5" t="n">
        <x:f>ROUND(2*T24+U24,2)</x:f>
        <x:v>151.3</x:v>
      </x:c>
      <x:c r="I24" s="5" t="n">
        <x:f>MIN(H24,ROUND(T24+V24+W24,2))</x:f>
        <x:v>151.3</x:v>
      </x:c>
      <x:c r="J24" s="5" t="n">
        <x:f>ROUND(H24-I24,2)</x:f>
        <x:v>0</x:v>
      </x:c>
      <x:c r="K24" s="5" t="n">
        <x:f>IF(H24=0,0,ROUND(100*J24/H24,2))</x:f>
        <x:v>0</x:v>
      </x:c>
      <x:c r="L24" s="5" t="n">
        <x:f>SUMIF(Pedidos!$L$2:$L$231,A24,Pedidos!$Q$2:$Q$231)</x:f>
        <x:v>576.84</x:v>
      </x:c>
      <x:c r="M24" s="5" t="n">
        <x:f>IF(J24=0,L24,MIN(L24,ROUND(I24/Vehiculos!$E$7*Vehiculos!$F$7,2)))</x:f>
        <x:v>576.84</x:v>
      </x:c>
      <x:c r="N24" s="5" t="n">
        <x:f>ROUND(L24-M24,2)</x:f>
        <x:v>0</x:v>
      </x:c>
      <x:c r="O24" s="5" t="n">
        <x:f>ROUND(H24/Vehiculos!$G$7*60+G24*8,0)</x:f>
        <x:v>201</x:v>
      </x:c>
      <x:c r="P24" s="5" t="n">
        <x:f>MIN(O24,ROUND(I24/Vehiculos!$G$7*60+G24*8,0))</x:f>
        <x:v>201</x:v>
      </x:c>
      <x:c r="Q24" s="5" t="n">
        <x:f>O24-P24</x:f>
        <x:v>0</x:v>
      </x:c>
      <x:c r="R24" s="1" t="str">
        <x:v>P0008</x:v>
      </x:c>
      <x:c r="S24" s="1" t="str">
        <x:v>Arizona</x:v>
      </x:c>
      <x:c r="T24" s="1" t="n">
        <x:f>Parametros_Operacion!$B$2</x:f>
        <x:v>72.5</x:v>
      </x:c>
      <x:c r="U24" s="1" t="n">
        <x:v>6.3</x:v>
      </x:c>
      <x:c r="V24" s="1" t="n">
        <x:v>6.3</x:v>
      </x:c>
      <x:c r="W24" s="1" t="n">
        <x:f>T24</x:f>
        <x:v>72.5</x:v>
      </x:c>
    </x:row>
    <x:row r="25">
      <x:c r="A25" s="1" t="str">
        <x:v>RT-20260507-R007</x:v>
      </x:c>
      <x:c r="B25" s="1" t="str">
        <x:v>2026-05-07</x:v>
      </x:c>
      <x:c r="C25" s="1" t="str">
        <x:v>R007</x:v>
      </x:c>
      <x:c r="D25" s="1" t="str">
        <x:v>María Hernández</x:v>
      </x:c>
      <x:c r="E25" s="1" t="str">
        <x:v>V007</x:v>
      </x:c>
      <x:c r="F25" s="1" t="str">
        <x:v>Pickup con carrocería</x:v>
      </x:c>
      <x:c r="G25" s="1" t="n">
        <x:v>1</x:v>
      </x:c>
      <x:c r="H25" s="5" t="n">
        <x:f>ROUND(2*T25+U25,2)</x:f>
        <x:v>153.8</x:v>
      </x:c>
      <x:c r="I25" s="5" t="n">
        <x:f>MIN(H25,ROUND(T25+V25+W25,2))</x:f>
        <x:v>153.8</x:v>
      </x:c>
      <x:c r="J25" s="5" t="n">
        <x:f>ROUND(H25-I25,2)</x:f>
        <x:v>0</x:v>
      </x:c>
      <x:c r="K25" s="5" t="n">
        <x:f>IF(H25=0,0,ROUND(100*J25/H25,2))</x:f>
        <x:v>0</x:v>
      </x:c>
      <x:c r="L25" s="5" t="n">
        <x:f>SUMIF(Pedidos!$L$2:$L$231,A25,Pedidos!$Q$2:$Q$231)</x:f>
        <x:v>586.37</x:v>
      </x:c>
      <x:c r="M25" s="5" t="n">
        <x:f>IF(J25=0,L25,MIN(L25,ROUND(I25/Vehiculos!$E$8*Vehiculos!$F$8,2)))</x:f>
        <x:v>586.37</x:v>
      </x:c>
      <x:c r="N25" s="5" t="n">
        <x:f>ROUND(L25-M25,2)</x:f>
        <x:v>0</x:v>
      </x:c>
      <x:c r="O25" s="5" t="n">
        <x:f>ROUND(H25/Vehiculos!$G$8*60+G25*8,0)</x:f>
        <x:v>209</x:v>
      </x:c>
      <x:c r="P25" s="5" t="n">
        <x:f>MIN(O25,ROUND(I25/Vehiculos!$G$8*60+G25*8,0))</x:f>
        <x:v>209</x:v>
      </x:c>
      <x:c r="Q25" s="5" t="n">
        <x:f>O25-P25</x:f>
        <x:v>0</x:v>
      </x:c>
      <x:c r="R25" s="1" t="str">
        <x:v>P0010</x:v>
      </x:c>
      <x:c r="S25" s="1" t="str">
        <x:v>Esparta</x:v>
      </x:c>
      <x:c r="T25" s="1" t="n">
        <x:f>Parametros_Operacion!$B$4</x:f>
        <x:v>75.5</x:v>
      </x:c>
      <x:c r="U25" s="1" t="n">
        <x:v>2.8</x:v>
      </x:c>
      <x:c r="V25" s="1" t="n">
        <x:v>2.8</x:v>
      </x:c>
      <x:c r="W25" s="1" t="n">
        <x:f>T25</x:f>
        <x:v>75.5</x:v>
      </x:c>
    </x:row>
    <x:row r="26">
      <x:c r="A26" s="1" t="str">
        <x:v>RT-20260508-R001</x:v>
      </x:c>
      <x:c r="B26" s="1" t="str">
        <x:v>2026-05-08</x:v>
      </x:c>
      <x:c r="C26" s="1" t="str">
        <x:v>R001</x:v>
      </x:c>
      <x:c r="D26" s="1" t="str">
        <x:v>Carlos Mejía</x:v>
      </x:c>
      <x:c r="E26" s="1" t="str">
        <x:v>V001</x:v>
      </x:c>
      <x:c r="F26" s="1" t="str">
        <x:v>Pickup con carrocería</x:v>
      </x:c>
      <x:c r="G26" s="1" t="n">
        <x:v>1</x:v>
      </x:c>
      <x:c r="H26" s="5" t="n">
        <x:f>ROUND(2*T26+U26,2)</x:f>
        <x:v>9.32</x:v>
      </x:c>
      <x:c r="I26" s="5" t="n">
        <x:f>MIN(H26,ROUND(T26+V26+W26,2))</x:f>
        <x:v>9.32</x:v>
      </x:c>
      <x:c r="J26" s="5" t="n">
        <x:f>ROUND(H26-I26,2)</x:f>
        <x:v>0</x:v>
      </x:c>
      <x:c r="K26" s="5" t="n">
        <x:f>IF(H26=0,0,ROUND(100*J26/H26,2))</x:f>
        <x:v>0</x:v>
      </x:c>
      <x:c r="L26" s="5" t="n">
        <x:f>SUMIF(Pedidos!$L$2:$L$231,A26,Pedidos!$Q$2:$Q$231)</x:f>
        <x:v>32.3</x:v>
      </x:c>
      <x:c r="M26" s="5" t="n">
        <x:f>IF(J26=0,L26,MIN(L26,ROUND(I26/Vehiculos!$E$2*Vehiculos!$F$2,2)))</x:f>
        <x:v>32.3</x:v>
      </x:c>
      <x:c r="N26" s="5" t="n">
        <x:f>ROUND(L26-M26,2)</x:f>
        <x:v>0</x:v>
      </x:c>
      <x:c r="O26" s="5" t="n">
        <x:f>ROUND(H26/Vehiculos!$G$2*60+G26*8,0)</x:f>
        <x:v>19</x:v>
      </x:c>
      <x:c r="P26" s="5" t="n">
        <x:f>MIN(O26,ROUND(I26/Vehiculos!$G$2*60+G26*8,0))</x:f>
        <x:v>19</x:v>
      </x:c>
      <x:c r="Q26" s="5" t="n">
        <x:f>O26-P26</x:f>
        <x:v>0</x:v>
      </x:c>
      <x:c r="R26" s="1" t="str">
        <x:v>P0017</x:v>
      </x:c>
      <x:c r="S26" s="1" t="str">
        <x:v>La Ceiba</x:v>
      </x:c>
      <x:c r="T26" s="1" t="n">
        <x:f>Parametros_Operacion!$B$6</x:f>
        <x:v>0</x:v>
      </x:c>
      <x:c r="U26" s="1" t="n">
        <x:v>9.32</x:v>
      </x:c>
      <x:c r="V26" s="1" t="n">
        <x:v>9.32</x:v>
      </x:c>
      <x:c r="W26" s="1" t="n">
        <x:f>T26</x:f>
        <x:v>0</x:v>
      </x:c>
    </x:row>
    <x:row r="27">
      <x:c r="A27" s="1" t="str">
        <x:v>RT-20260508-R002</x:v>
      </x:c>
      <x:c r="B27" s="1" t="str">
        <x:v>2026-05-08</x:v>
      </x:c>
      <x:c r="C27" s="1" t="str">
        <x:v>R002</x:v>
      </x:c>
      <x:c r="D27" s="1" t="str">
        <x:v>Ana López</x:v>
      </x:c>
      <x:c r="E27" s="1" t="str">
        <x:v>V002</x:v>
      </x:c>
      <x:c r="F27" s="1" t="str">
        <x:v>Pickup con carrocería</x:v>
      </x:c>
      <x:c r="G27" s="1" t="n">
        <x:v>1</x:v>
      </x:c>
      <x:c r="H27" s="5" t="n">
        <x:f>ROUND(2*T27+U27,2)</x:f>
        <x:v>208.62</x:v>
      </x:c>
      <x:c r="I27" s="5" t="n">
        <x:f>MIN(H27,ROUND(T27+V27+W27,2))</x:f>
        <x:v>208.62</x:v>
      </x:c>
      <x:c r="J27" s="5" t="n">
        <x:f>ROUND(H27-I27,2)</x:f>
        <x:v>0</x:v>
      </x:c>
      <x:c r="K27" s="5" t="n">
        <x:f>IF(H27=0,0,ROUND(100*J27/H27,2))</x:f>
        <x:v>0</x:v>
      </x:c>
      <x:c r="L27" s="5" t="n">
        <x:f>SUMIF(Pedidos!$L$2:$L$231,A27,Pedidos!$Q$2:$Q$231)</x:f>
        <x:v>757.5</x:v>
      </x:c>
      <x:c r="M27" s="5" t="n">
        <x:f>IF(J27=0,L27,MIN(L27,ROUND(I27/Vehiculos!$E$3*Vehiculos!$F$3,2)))</x:f>
        <x:v>757.5</x:v>
      </x:c>
      <x:c r="N27" s="5" t="n">
        <x:f>ROUND(L27-M27,2)</x:f>
        <x:v>0</x:v>
      </x:c>
      <x:c r="O27" s="5" t="n">
        <x:f>ROUND(H27/Vehiculos!$G$3*60+G27*8,0)</x:f>
        <x:v>269</x:v>
      </x:c>
      <x:c r="P27" s="5" t="n">
        <x:f>MIN(O27,ROUND(I27/Vehiculos!$G$3*60+G27*8,0))</x:f>
        <x:v>269</x:v>
      </x:c>
      <x:c r="Q27" s="5" t="n">
        <x:f>O27-P27</x:f>
        <x:v>0</x:v>
      </x:c>
      <x:c r="R27" s="1" t="str">
        <x:v>P0080</x:v>
      </x:c>
      <x:c r="S27" s="1" t="str">
        <x:v>Tela</x:v>
      </x:c>
      <x:c r="T27" s="1" t="n">
        <x:f>Parametros_Operacion!$B$9</x:f>
        <x:v>102.3</x:v>
      </x:c>
      <x:c r="U27" s="1" t="n">
        <x:v>4.02</x:v>
      </x:c>
      <x:c r="V27" s="1" t="n">
        <x:v>4.02</x:v>
      </x:c>
      <x:c r="W27" s="1" t="n">
        <x:f>T27</x:f>
        <x:v>102.3</x:v>
      </x:c>
    </x:row>
    <x:row r="28">
      <x:c r="A28" s="1" t="str">
        <x:v>RT-20260508-R004</x:v>
      </x:c>
      <x:c r="B28" s="1" t="str">
        <x:v>2026-05-08</x:v>
      </x:c>
      <x:c r="C28" s="1" t="str">
        <x:v>R004</x:v>
      </x:c>
      <x:c r="D28" s="1" t="str">
        <x:v>Daniela Cruz</x:v>
      </x:c>
      <x:c r="E28" s="1" t="str">
        <x:v>V004</x:v>
      </x:c>
      <x:c r="F28" s="1" t="str">
        <x:v>Pickup con carrocería</x:v>
      </x:c>
      <x:c r="G28" s="1" t="n">
        <x:v>2</x:v>
      </x:c>
      <x:c r="H28" s="5" t="n">
        <x:f>ROUND(2*T28+U28,2)</x:f>
        <x:v>98.17</x:v>
      </x:c>
      <x:c r="I28" s="5" t="n">
        <x:f>MIN(H28,ROUND(T28+V28+W28,2))</x:f>
        <x:v>98.17</x:v>
      </x:c>
      <x:c r="J28" s="5" t="n">
        <x:f>ROUND(H28-I28,2)</x:f>
        <x:v>0</x:v>
      </x:c>
      <x:c r="K28" s="5" t="n">
        <x:f>IF(H28=0,0,ROUND(100*J28/H28,2))</x:f>
        <x:v>0</x:v>
      </x:c>
      <x:c r="L28" s="5" t="n">
        <x:f>SUMIF(Pedidos!$L$2:$L$231,A28,Pedidos!$Q$2:$Q$231)</x:f>
        <x:v>356.46000000000004</x:v>
      </x:c>
      <x:c r="M28" s="5" t="n">
        <x:f>IF(J28=0,L28,MIN(L28,ROUND(I28/Vehiculos!$E$5*Vehiculos!$F$5,2)))</x:f>
        <x:v>356.46000000000004</x:v>
      </x:c>
      <x:c r="N28" s="5" t="n">
        <x:f>ROUND(L28-M28,2)</x:f>
        <x:v>0</x:v>
      </x:c>
      <x:c r="O28" s="5" t="n">
        <x:f>ROUND(H28/Vehiculos!$G$5*60+G28*8,0)</x:f>
        <x:v>136</x:v>
      </x:c>
      <x:c r="P28" s="5" t="n">
        <x:f>MIN(O28,ROUND(I28/Vehiculos!$G$5*60+G28*8,0))</x:f>
        <x:v>136</x:v>
      </x:c>
      <x:c r="Q28" s="5" t="n">
        <x:f>O28-P28</x:f>
        <x:v>0</x:v>
      </x:c>
      <x:c r="R28" s="1" t="str">
        <x:v>P0016 &gt; P0019</x:v>
      </x:c>
      <x:c r="S28" s="1" t="str">
        <x:v>La Masica</x:v>
      </x:c>
      <x:c r="T28" s="1" t="n">
        <x:f>Parametros_Operacion!$B$7</x:f>
        <x:v>41.2</x:v>
      </x:c>
      <x:c r="U28" s="1" t="n">
        <x:v>15.77</x:v>
      </x:c>
      <x:c r="V28" s="1" t="n">
        <x:v>15.77</x:v>
      </x:c>
      <x:c r="W28" s="1" t="n">
        <x:f>T28</x:f>
        <x:v>41.2</x:v>
      </x:c>
    </x:row>
    <x:row r="29">
      <x:c r="A29" s="1" t="str">
        <x:v>RT-20260508-R007</x:v>
      </x:c>
      <x:c r="B29" s="1" t="str">
        <x:v>2026-05-08</x:v>
      </x:c>
      <x:c r="C29" s="1" t="str">
        <x:v>R007</x:v>
      </x:c>
      <x:c r="D29" s="1" t="str">
        <x:v>María Hernández</x:v>
      </x:c>
      <x:c r="E29" s="1" t="str">
        <x:v>V007</x:v>
      </x:c>
      <x:c r="F29" s="1" t="str">
        <x:v>Pickup con carrocería</x:v>
      </x:c>
      <x:c r="G29" s="1" t="n">
        <x:v>4</x:v>
      </x:c>
      <x:c r="H29" s="5" t="n">
        <x:f>ROUND(2*T29+U29,2)</x:f>
        <x:v>157.48</x:v>
      </x:c>
      <x:c r="I29" s="5" t="n">
        <x:f>MIN(H29,ROUND(T29+V29+W29,2))</x:f>
        <x:v>157.48</x:v>
      </x:c>
      <x:c r="J29" s="5" t="n">
        <x:f>ROUND(H29-I29,2)</x:f>
        <x:v>0</x:v>
      </x:c>
      <x:c r="K29" s="5" t="n">
        <x:f>IF(H29=0,0,ROUND(100*J29/H29,2))</x:f>
        <x:v>0</x:v>
      </x:c>
      <x:c r="L29" s="5" t="n">
        <x:f>SUMIF(Pedidos!$L$2:$L$231,A29,Pedidos!$Q$2:$Q$231)</x:f>
        <x:v>600.4000000000001</x:v>
      </x:c>
      <x:c r="M29" s="5" t="n">
        <x:f>IF(J29=0,L29,MIN(L29,ROUND(I29/Vehiculos!$E$8*Vehiculos!$F$8,2)))</x:f>
        <x:v>600.4000000000001</x:v>
      </x:c>
      <x:c r="N29" s="5" t="n">
        <x:f>ROUND(L29-M29,2)</x:f>
        <x:v>0</x:v>
      </x:c>
      <x:c r="O29" s="5" t="n">
        <x:f>ROUND(H29/Vehiculos!$G$8*60+G29*8,0)</x:f>
        <x:v>237</x:v>
      </x:c>
      <x:c r="P29" s="5" t="n">
        <x:f>MIN(O29,ROUND(I29/Vehiculos!$G$8*60+G29*8,0))</x:f>
        <x:v>237</x:v>
      </x:c>
      <x:c r="Q29" s="5" t="n">
        <x:f>O29-P29</x:f>
        <x:v>0</x:v>
      </x:c>
      <x:c r="R29" s="1" t="str">
        <x:v>P0047 &gt; P0084 &gt; P0082 &gt; P0079</x:v>
      </x:c>
      <x:c r="S29" s="1" t="str">
        <x:v>Esparta</x:v>
      </x:c>
      <x:c r="T29" s="1" t="n">
        <x:f>Parametros_Operacion!$B$4</x:f>
        <x:v>75.5</x:v>
      </x:c>
      <x:c r="U29" s="1" t="n">
        <x:v>6.48</x:v>
      </x:c>
      <x:c r="V29" s="1" t="n">
        <x:v>6.48</x:v>
      </x:c>
      <x:c r="W29" s="1" t="n">
        <x:f>T29</x:f>
        <x:v>75.5</x:v>
      </x:c>
    </x:row>
    <x:row r="30">
      <x:c r="A30" s="1" t="str">
        <x:v>RT-20260508-R008</x:v>
      </x:c>
      <x:c r="B30" s="1" t="str">
        <x:v>2026-05-08</x:v>
      </x:c>
      <x:c r="C30" s="1" t="str">
        <x:v>R008</x:v>
      </x:c>
      <x:c r="D30" s="1" t="str">
        <x:v>Jorge Castro</x:v>
      </x:c>
      <x:c r="E30" s="1" t="str">
        <x:v>V008</x:v>
      </x:c>
      <x:c r="F30" s="1" t="str">
        <x:v>Camión pequeño</x:v>
      </x:c>
      <x:c r="G30" s="1" t="n">
        <x:v>1</x:v>
      </x:c>
      <x:c r="H30" s="5" t="n">
        <x:f>ROUND(2*T30+U30,2)</x:f>
        <x:v>38.32</x:v>
      </x:c>
      <x:c r="I30" s="5" t="n">
        <x:f>MIN(H30,ROUND(T30+V30+W30,2))</x:f>
        <x:v>38.32</x:v>
      </x:c>
      <x:c r="J30" s="5" t="n">
        <x:f>ROUND(H30-I30,2)</x:f>
        <x:v>0</x:v>
      </x:c>
      <x:c r="K30" s="5" t="n">
        <x:f>IF(H30=0,0,ROUND(100*J30/H30,2))</x:f>
        <x:v>0</x:v>
      </x:c>
      <x:c r="L30" s="5" t="n">
        <x:f>SUMIF(Pedidos!$L$2:$L$231,A30,Pedidos!$Q$2:$Q$231)</x:f>
        <x:v>194.79</x:v>
      </x:c>
      <x:c r="M30" s="5" t="n">
        <x:f>IF(J30=0,L30,MIN(L30,ROUND(I30/Vehiculos!$E$9*Vehiculos!$F$9,2)))</x:f>
        <x:v>194.79</x:v>
      </x:c>
      <x:c r="N30" s="5" t="n">
        <x:f>ROUND(L30-M30,2)</x:f>
        <x:v>0</x:v>
      </x:c>
      <x:c r="O30" s="5" t="n">
        <x:f>ROUND(H30/Vehiculos!$G$9*60+G30*8,0)</x:f>
        <x:v>63</x:v>
      </x:c>
      <x:c r="P30" s="5" t="n">
        <x:f>MIN(O30,ROUND(I30/Vehiculos!$G$9*60+G30*8,0))</x:f>
        <x:v>63</x:v>
      </x:c>
      <x:c r="Q30" s="5" t="n">
        <x:f>O30-P30</x:f>
        <x:v>0</x:v>
      </x:c>
      <x:c r="R30" s="1" t="str">
        <x:v>P0055</x:v>
      </x:c>
      <x:c r="S30" s="1" t="str">
        <x:v>El Porvenir</x:v>
      </x:c>
      <x:c r="T30" s="1" t="n">
        <x:f>Parametros_Operacion!$B$3</x:f>
        <x:v>16.5</x:v>
      </x:c>
      <x:c r="U30" s="1" t="n">
        <x:v>5.32</x:v>
      </x:c>
      <x:c r="V30" s="1" t="n">
        <x:v>5.32</x:v>
      </x:c>
      <x:c r="W30" s="1" t="n">
        <x:f>T30</x:f>
        <x:v>16.5</x:v>
      </x:c>
    </x:row>
    <x:row r="31">
      <x:c r="A31" s="1" t="str">
        <x:v>RT-20260509-R001</x:v>
      </x:c>
      <x:c r="B31" s="1" t="str">
        <x:v>2026-05-09</x:v>
      </x:c>
      <x:c r="C31" s="1" t="str">
        <x:v>R001</x:v>
      </x:c>
      <x:c r="D31" s="1" t="str">
        <x:v>Carlos Mejía</x:v>
      </x:c>
      <x:c r="E31" s="1" t="str">
        <x:v>V001</x:v>
      </x:c>
      <x:c r="F31" s="1" t="str">
        <x:v>Pickup con carrocería</x:v>
      </x:c>
      <x:c r="G31" s="1" t="n">
        <x:v>2</x:v>
      </x:c>
      <x:c r="H31" s="5" t="n">
        <x:f>ROUND(2*T31+U31,2)</x:f>
        <x:v>11.67</x:v>
      </x:c>
      <x:c r="I31" s="5" t="n">
        <x:f>MIN(H31,ROUND(T31+V31+W31,2))</x:f>
        <x:v>11.67</x:v>
      </x:c>
      <x:c r="J31" s="5" t="n">
        <x:f>ROUND(H31-I31,2)</x:f>
        <x:v>0</x:v>
      </x:c>
      <x:c r="K31" s="5" t="n">
        <x:f>IF(H31=0,0,ROUND(100*J31/H31,2))</x:f>
        <x:v>0</x:v>
      </x:c>
      <x:c r="L31" s="5" t="n">
        <x:f>SUMIF(Pedidos!$L$2:$L$231,A31,Pedidos!$Q$2:$Q$231)</x:f>
        <x:v>40.45</x:v>
      </x:c>
      <x:c r="M31" s="5" t="n">
        <x:f>IF(J31=0,L31,MIN(L31,ROUND(I31/Vehiculos!$E$2*Vehiculos!$F$2,2)))</x:f>
        <x:v>40.45</x:v>
      </x:c>
      <x:c r="N31" s="5" t="n">
        <x:f>ROUND(L31-M31,2)</x:f>
        <x:v>0</x:v>
      </x:c>
      <x:c r="O31" s="5" t="n">
        <x:f>ROUND(H31/Vehiculos!$G$2*60+G31*8,0)</x:f>
        <x:v>30</x:v>
      </x:c>
      <x:c r="P31" s="5" t="n">
        <x:f>MIN(O31,ROUND(I31/Vehiculos!$G$2*60+G31*8,0))</x:f>
        <x:v>30</x:v>
      </x:c>
      <x:c r="Q31" s="5" t="n">
        <x:f>O31-P31</x:f>
        <x:v>0</x:v>
      </x:c>
      <x:c r="R31" s="1" t="str">
        <x:v>P0041 &gt; P0099</x:v>
      </x:c>
      <x:c r="S31" s="1" t="str">
        <x:v>La Ceiba</x:v>
      </x:c>
      <x:c r="T31" s="1" t="n">
        <x:f>Parametros_Operacion!$B$6</x:f>
        <x:v>0</x:v>
      </x:c>
      <x:c r="U31" s="1" t="n">
        <x:v>11.67</x:v>
      </x:c>
      <x:c r="V31" s="1" t="n">
        <x:v>11.67</x:v>
      </x:c>
      <x:c r="W31" s="1" t="n">
        <x:f>T31</x:f>
        <x:v>0</x:v>
      </x:c>
    </x:row>
    <x:row r="32">
      <x:c r="A32" s="1" t="str">
        <x:v>RT-20260509-R002</x:v>
      </x:c>
      <x:c r="B32" s="1" t="str">
        <x:v>2026-05-09</x:v>
      </x:c>
      <x:c r="C32" s="1" t="str">
        <x:v>R002</x:v>
      </x:c>
      <x:c r="D32" s="1" t="str">
        <x:v>Ana López</x:v>
      </x:c>
      <x:c r="E32" s="1" t="str">
        <x:v>V002</x:v>
      </x:c>
      <x:c r="F32" s="1" t="str">
        <x:v>Pickup con carrocería</x:v>
      </x:c>
      <x:c r="G32" s="1" t="n">
        <x:v>1</x:v>
      </x:c>
      <x:c r="H32" s="5" t="n">
        <x:f>ROUND(2*T32+U32,2)</x:f>
        <x:v>208.62</x:v>
      </x:c>
      <x:c r="I32" s="5" t="n">
        <x:f>MIN(H32,ROUND(T32+V32+W32,2))</x:f>
        <x:v>208.62</x:v>
      </x:c>
      <x:c r="J32" s="5" t="n">
        <x:f>ROUND(H32-I32,2)</x:f>
        <x:v>0</x:v>
      </x:c>
      <x:c r="K32" s="5" t="n">
        <x:f>IF(H32=0,0,ROUND(100*J32/H32,2))</x:f>
        <x:v>0</x:v>
      </x:c>
      <x:c r="L32" s="5" t="n">
        <x:f>SUMIF(Pedidos!$L$2:$L$231,A32,Pedidos!$Q$2:$Q$231)</x:f>
        <x:v>757.5</x:v>
      </x:c>
      <x:c r="M32" s="5" t="n">
        <x:f>IF(J32=0,L32,MIN(L32,ROUND(I32/Vehiculos!$E$3*Vehiculos!$F$3,2)))</x:f>
        <x:v>757.5</x:v>
      </x:c>
      <x:c r="N32" s="5" t="n">
        <x:f>ROUND(L32-M32,2)</x:f>
        <x:v>0</x:v>
      </x:c>
      <x:c r="O32" s="5" t="n">
        <x:f>ROUND(H32/Vehiculos!$G$3*60+G32*8,0)</x:f>
        <x:v>269</x:v>
      </x:c>
      <x:c r="P32" s="5" t="n">
        <x:f>MIN(O32,ROUND(I32/Vehiculos!$G$3*60+G32*8,0))</x:f>
        <x:v>269</x:v>
      </x:c>
      <x:c r="Q32" s="5" t="n">
        <x:f>O32-P32</x:f>
        <x:v>0</x:v>
      </x:c>
      <x:c r="R32" s="1" t="str">
        <x:v>P0063</x:v>
      </x:c>
      <x:c r="S32" s="1" t="str">
        <x:v>Tela</x:v>
      </x:c>
      <x:c r="T32" s="1" t="n">
        <x:f>Parametros_Operacion!$B$9</x:f>
        <x:v>102.3</x:v>
      </x:c>
      <x:c r="U32" s="1" t="n">
        <x:v>4.02</x:v>
      </x:c>
      <x:c r="V32" s="1" t="n">
        <x:v>4.02</x:v>
      </x:c>
      <x:c r="W32" s="1" t="n">
        <x:f>T32</x:f>
        <x:v>102.3</x:v>
      </x:c>
    </x:row>
    <x:row r="33">
      <x:c r="A33" s="1" t="str">
        <x:v>RT-20260509-R003</x:v>
      </x:c>
      <x:c r="B33" s="1" t="str">
        <x:v>2026-05-09</x:v>
      </x:c>
      <x:c r="C33" s="1" t="str">
        <x:v>R003</x:v>
      </x:c>
      <x:c r="D33" s="1" t="str">
        <x:v>Luis Ramírez</x:v>
      </x:c>
      <x:c r="E33" s="1" t="str">
        <x:v>V003</x:v>
      </x:c>
      <x:c r="F33" s="1" t="str">
        <x:v>Pickup con carrocería</x:v>
      </x:c>
      <x:c r="G33" s="1" t="n">
        <x:v>2</x:v>
      </x:c>
      <x:c r="H33" s="5" t="n">
        <x:f>ROUND(2*T33+U33,2)</x:f>
        <x:v>76.03</x:v>
      </x:c>
      <x:c r="I33" s="5" t="n">
        <x:f>MIN(H33,ROUND(T33+V33+W33,2))</x:f>
        <x:v>76.03</x:v>
      </x:c>
      <x:c r="J33" s="5" t="n">
        <x:f>ROUND(H33-I33,2)</x:f>
        <x:v>0</x:v>
      </x:c>
      <x:c r="K33" s="5" t="n">
        <x:f>IF(H33=0,0,ROUND(100*J33/H33,2))</x:f>
        <x:v>0</x:v>
      </x:c>
      <x:c r="L33" s="5" t="n">
        <x:f>SUMIF(Pedidos!$L$2:$L$231,A33,Pedidos!$Q$2:$Q$231)</x:f>
        <x:v>289.87</x:v>
      </x:c>
      <x:c r="M33" s="5" t="n">
        <x:f>IF(J33=0,L33,MIN(L33,ROUND(I33/Vehiculos!$E$4*Vehiculos!$F$4,2)))</x:f>
        <x:v>289.87</x:v>
      </x:c>
      <x:c r="N33" s="5" t="n">
        <x:f>ROUND(L33-M33,2)</x:f>
        <x:v>0</x:v>
      </x:c>
      <x:c r="O33" s="5" t="n">
        <x:f>ROUND(H33/Vehiculos!$G$4*60+G33*8,0)</x:f>
        <x:v>113</x:v>
      </x:c>
      <x:c r="P33" s="5" t="n">
        <x:f>MIN(O33,ROUND(I33/Vehiculos!$G$4*60+G33*8,0))</x:f>
        <x:v>113</x:v>
      </x:c>
      <x:c r="Q33" s="5" t="n">
        <x:f>O33-P33</x:f>
        <x:v>0</x:v>
      </x:c>
      <x:c r="R33" s="1" t="str">
        <x:v>P0029 &gt; P0060</x:v>
      </x:c>
      <x:c r="S33" s="1" t="str">
        <x:v>Jutiapa</x:v>
      </x:c>
      <x:c r="T33" s="1" t="n">
        <x:f>Parametros_Operacion!$B$5</x:f>
        <x:v>31.4</x:v>
      </x:c>
      <x:c r="U33" s="1" t="n">
        <x:v>13.23</x:v>
      </x:c>
      <x:c r="V33" s="1" t="n">
        <x:v>13.23</x:v>
      </x:c>
      <x:c r="W33" s="1" t="n">
        <x:f>T33</x:f>
        <x:v>31.4</x:v>
      </x:c>
    </x:row>
    <x:row r="34">
      <x:c r="A34" s="1" t="str">
        <x:v>RT-20260509-R005</x:v>
      </x:c>
      <x:c r="B34" s="1" t="str">
        <x:v>2026-05-09</x:v>
      </x:c>
      <x:c r="C34" s="1" t="str">
        <x:v>R005</x:v>
      </x:c>
      <x:c r="D34" s="1" t="str">
        <x:v>José Martínez</x:v>
      </x:c>
      <x:c r="E34" s="1" t="str">
        <x:v>V005</x:v>
      </x:c>
      <x:c r="F34" s="1" t="str">
        <x:v>Camión pequeño</x:v>
      </x:c>
      <x:c r="G34" s="1" t="n">
        <x:v>1</x:v>
      </x:c>
      <x:c r="H34" s="5" t="n">
        <x:f>ROUND(2*T34+U34,2)</x:f>
        <x:v>73.78</x:v>
      </x:c>
      <x:c r="I34" s="5" t="n">
        <x:f>MIN(H34,ROUND(T34+V34+W34,2))</x:f>
        <x:v>73.78</x:v>
      </x:c>
      <x:c r="J34" s="5" t="n">
        <x:f>ROUND(H34-I34,2)</x:f>
        <x:v>0</x:v>
      </x:c>
      <x:c r="K34" s="5" t="n">
        <x:f>IF(H34=0,0,ROUND(100*J34/H34,2))</x:f>
        <x:v>0</x:v>
      </x:c>
      <x:c r="L34" s="5" t="n">
        <x:f>SUMIF(Pedidos!$L$2:$L$231,A34,Pedidos!$Q$2:$Q$231)</x:f>
        <x:v>351.61</x:v>
      </x:c>
      <x:c r="M34" s="5" t="n">
        <x:f>IF(J34=0,L34,MIN(L34,ROUND(I34/Vehiculos!$E$6*Vehiculos!$F$6,2)))</x:f>
        <x:v>351.61</x:v>
      </x:c>
      <x:c r="N34" s="5" t="n">
        <x:f>ROUND(L34-M34,2)</x:f>
        <x:v>0</x:v>
      </x:c>
      <x:c r="O34" s="5" t="n">
        <x:f>ROUND(H34/Vehiculos!$G$6*60+G34*8,0)</x:f>
        <x:v>111</x:v>
      </x:c>
      <x:c r="P34" s="5" t="n">
        <x:f>MIN(O34,ROUND(I34/Vehiculos!$G$6*60+G34*8,0))</x:f>
        <x:v>111</x:v>
      </x:c>
      <x:c r="Q34" s="5" t="n">
        <x:f>O34-P34</x:f>
        <x:v>0</x:v>
      </x:c>
      <x:c r="R34" s="1" t="str">
        <x:v>P0067</x:v>
      </x:c>
      <x:c r="S34" s="1" t="str">
        <x:v>San Francisco</x:v>
      </x:c>
      <x:c r="T34" s="1" t="n">
        <x:f>Parametros_Operacion!$B$8</x:f>
        <x:v>35</x:v>
      </x:c>
      <x:c r="U34" s="1" t="n">
        <x:v>3.78</x:v>
      </x:c>
      <x:c r="V34" s="1" t="n">
        <x:v>3.78</x:v>
      </x:c>
      <x:c r="W34" s="1" t="n">
        <x:f>T34</x:f>
        <x:v>35</x:v>
      </x:c>
    </x:row>
    <x:row r="35">
      <x:c r="A35" s="1" t="str">
        <x:v>RT-20260510-R002</x:v>
      </x:c>
      <x:c r="B35" s="1" t="str">
        <x:v>2026-05-10</x:v>
      </x:c>
      <x:c r="C35" s="1" t="str">
        <x:v>R002</x:v>
      </x:c>
      <x:c r="D35" s="1" t="str">
        <x:v>Ana López</x:v>
      </x:c>
      <x:c r="E35" s="1" t="str">
        <x:v>V002</x:v>
      </x:c>
      <x:c r="F35" s="1" t="str">
        <x:v>Pickup con carrocería</x:v>
      </x:c>
      <x:c r="G35" s="1" t="n">
        <x:v>1</x:v>
      </x:c>
      <x:c r="H35" s="5" t="n">
        <x:f>ROUND(2*T35+U35,2)</x:f>
        <x:v>208.62</x:v>
      </x:c>
      <x:c r="I35" s="5" t="n">
        <x:f>MIN(H35,ROUND(T35+V35+W35,2))</x:f>
        <x:v>208.62</x:v>
      </x:c>
      <x:c r="J35" s="5" t="n">
        <x:f>ROUND(H35-I35,2)</x:f>
        <x:v>0</x:v>
      </x:c>
      <x:c r="K35" s="5" t="n">
        <x:f>IF(H35=0,0,ROUND(100*J35/H35,2))</x:f>
        <x:v>0</x:v>
      </x:c>
      <x:c r="L35" s="5" t="n">
        <x:f>SUMIF(Pedidos!$L$2:$L$231,A35,Pedidos!$Q$2:$Q$231)</x:f>
        <x:v>757.5</x:v>
      </x:c>
      <x:c r="M35" s="5" t="n">
        <x:f>IF(J35=0,L35,MIN(L35,ROUND(I35/Vehiculos!$E$3*Vehiculos!$F$3,2)))</x:f>
        <x:v>757.5</x:v>
      </x:c>
      <x:c r="N35" s="5" t="n">
        <x:f>ROUND(L35-M35,2)</x:f>
        <x:v>0</x:v>
      </x:c>
      <x:c r="O35" s="5" t="n">
        <x:f>ROUND(H35/Vehiculos!$G$3*60+G35*8,0)</x:f>
        <x:v>269</x:v>
      </x:c>
      <x:c r="P35" s="5" t="n">
        <x:f>MIN(O35,ROUND(I35/Vehiculos!$G$3*60+G35*8,0))</x:f>
        <x:v>269</x:v>
      </x:c>
      <x:c r="Q35" s="5" t="n">
        <x:f>O35-P35</x:f>
        <x:v>0</x:v>
      </x:c>
      <x:c r="R35" s="1" t="str">
        <x:v>P0043</x:v>
      </x:c>
      <x:c r="S35" s="1" t="str">
        <x:v>Tela</x:v>
      </x:c>
      <x:c r="T35" s="1" t="n">
        <x:f>Parametros_Operacion!$B$9</x:f>
        <x:v>102.3</x:v>
      </x:c>
      <x:c r="U35" s="1" t="n">
        <x:v>4.02</x:v>
      </x:c>
      <x:c r="V35" s="1" t="n">
        <x:v>4.02</x:v>
      </x:c>
      <x:c r="W35" s="1" t="n">
        <x:f>T35</x:f>
        <x:v>102.3</x:v>
      </x:c>
    </x:row>
    <x:row r="36">
      <x:c r="A36" s="1" t="str">
        <x:v>RT-20260510-R003</x:v>
      </x:c>
      <x:c r="B36" s="1" t="str">
        <x:v>2026-05-10</x:v>
      </x:c>
      <x:c r="C36" s="1" t="str">
        <x:v>R003</x:v>
      </x:c>
      <x:c r="D36" s="1" t="str">
        <x:v>Luis Ramírez</x:v>
      </x:c>
      <x:c r="E36" s="1" t="str">
        <x:v>V003</x:v>
      </x:c>
      <x:c r="F36" s="1" t="str">
        <x:v>Pickup con carrocería</x:v>
      </x:c>
      <x:c r="G36" s="1" t="n">
        <x:v>2</x:v>
      </x:c>
      <x:c r="H36" s="5" t="n">
        <x:f>ROUND(2*T36+U36,2)</x:f>
        <x:v>68.18</x:v>
      </x:c>
      <x:c r="I36" s="5" t="n">
        <x:f>MIN(H36,ROUND(T36+V36+W36,2))</x:f>
        <x:v>68.18</x:v>
      </x:c>
      <x:c r="J36" s="5" t="n">
        <x:f>ROUND(H36-I36,2)</x:f>
        <x:v>0</x:v>
      </x:c>
      <x:c r="K36" s="5" t="n">
        <x:f>IF(H36=0,0,ROUND(100*J36/H36,2))</x:f>
        <x:v>0</x:v>
      </x:c>
      <x:c r="L36" s="5" t="n">
        <x:f>SUMIF(Pedidos!$L$2:$L$231,A36,Pedidos!$Q$2:$Q$231)</x:f>
        <x:v>259.94</x:v>
      </x:c>
      <x:c r="M36" s="5" t="n">
        <x:f>IF(J36=0,L36,MIN(L36,ROUND(I36/Vehiculos!$E$4*Vehiculos!$F$4,2)))</x:f>
        <x:v>259.94</x:v>
      </x:c>
      <x:c r="N36" s="5" t="n">
        <x:f>ROUND(L36-M36,2)</x:f>
        <x:v>0</x:v>
      </x:c>
      <x:c r="O36" s="5" t="n">
        <x:f>ROUND(H36/Vehiculos!$G$4*60+G36*8,0)</x:f>
        <x:v>103</x:v>
      </x:c>
      <x:c r="P36" s="5" t="n">
        <x:f>MIN(O36,ROUND(I36/Vehiculos!$G$4*60+G36*8,0))</x:f>
        <x:v>103</x:v>
      </x:c>
      <x:c r="Q36" s="5" t="n">
        <x:f>O36-P36</x:f>
        <x:v>0</x:v>
      </x:c>
      <x:c r="R36" s="1" t="str">
        <x:v>P0095 &gt; P0110</x:v>
      </x:c>
      <x:c r="S36" s="1" t="str">
        <x:v>Jutiapa</x:v>
      </x:c>
      <x:c r="T36" s="1" t="n">
        <x:f>Parametros_Operacion!$B$5</x:f>
        <x:v>31.4</x:v>
      </x:c>
      <x:c r="U36" s="1" t="n">
        <x:v>5.38</x:v>
      </x:c>
      <x:c r="V36" s="1" t="n">
        <x:v>5.38</x:v>
      </x:c>
      <x:c r="W36" s="1" t="n">
        <x:f>T36</x:f>
        <x:v>31.4</x:v>
      </x:c>
    </x:row>
    <x:row r="37">
      <x:c r="A37" s="1" t="str">
        <x:v>RT-20260510-R004</x:v>
      </x:c>
      <x:c r="B37" s="1" t="str">
        <x:v>2026-05-10</x:v>
      </x:c>
      <x:c r="C37" s="1" t="str">
        <x:v>R004</x:v>
      </x:c>
      <x:c r="D37" s="1" t="str">
        <x:v>Daniela Cruz</x:v>
      </x:c>
      <x:c r="E37" s="1" t="str">
        <x:v>V004</x:v>
      </x:c>
      <x:c r="F37" s="1" t="str">
        <x:v>Pickup con carrocería</x:v>
      </x:c>
      <x:c r="G37" s="1" t="n">
        <x:v>1</x:v>
      </x:c>
      <x:c r="H37" s="5" t="n">
        <x:f>ROUND(2*T37+U37,2)</x:f>
        <x:v>87.4</x:v>
      </x:c>
      <x:c r="I37" s="5" t="n">
        <x:f>MIN(H37,ROUND(T37+V37+W37,2))</x:f>
        <x:v>87.4</x:v>
      </x:c>
      <x:c r="J37" s="5" t="n">
        <x:f>ROUND(H37-I37,2)</x:f>
        <x:v>0</x:v>
      </x:c>
      <x:c r="K37" s="5" t="n">
        <x:f>IF(H37=0,0,ROUND(100*J37/H37,2))</x:f>
        <x:v>0</x:v>
      </x:c>
      <x:c r="L37" s="5" t="n">
        <x:f>SUMIF(Pedidos!$L$2:$L$231,A37,Pedidos!$Q$2:$Q$231)</x:f>
        <x:v>317.35</x:v>
      </x:c>
      <x:c r="M37" s="5" t="n">
        <x:f>IF(J37=0,L37,MIN(L37,ROUND(I37/Vehiculos!$E$5*Vehiculos!$F$5,2)))</x:f>
        <x:v>317.35</x:v>
      </x:c>
      <x:c r="N37" s="5" t="n">
        <x:f>ROUND(L37-M37,2)</x:f>
        <x:v>0</x:v>
      </x:c>
      <x:c r="O37" s="5" t="n">
        <x:f>ROUND(H37/Vehiculos!$G$5*60+G37*8,0)</x:f>
        <x:v>115</x:v>
      </x:c>
      <x:c r="P37" s="5" t="n">
        <x:f>MIN(O37,ROUND(I37/Vehiculos!$G$5*60+G37*8,0))</x:f>
        <x:v>115</x:v>
      </x:c>
      <x:c r="Q37" s="5" t="n">
        <x:f>O37-P37</x:f>
        <x:v>0</x:v>
      </x:c>
      <x:c r="R37" s="1" t="str">
        <x:v>P0044</x:v>
      </x:c>
      <x:c r="S37" s="1" t="str">
        <x:v>La Masica</x:v>
      </x:c>
      <x:c r="T37" s="1" t="n">
        <x:f>Parametros_Operacion!$B$7</x:f>
        <x:v>41.2</x:v>
      </x:c>
      <x:c r="U37" s="1" t="n">
        <x:v>5</x:v>
      </x:c>
      <x:c r="V37" s="1" t="n">
        <x:v>5</x:v>
      </x:c>
      <x:c r="W37" s="1" t="n">
        <x:f>T37</x:f>
        <x:v>41.2</x:v>
      </x:c>
    </x:row>
    <x:row r="38">
      <x:c r="A38" s="1" t="str">
        <x:v>RT-20260510-R005</x:v>
      </x:c>
      <x:c r="B38" s="1" t="str">
        <x:v>2026-05-10</x:v>
      </x:c>
      <x:c r="C38" s="1" t="str">
        <x:v>R005</x:v>
      </x:c>
      <x:c r="D38" s="1" t="str">
        <x:v>José Martínez</x:v>
      </x:c>
      <x:c r="E38" s="1" t="str">
        <x:v>V005</x:v>
      </x:c>
      <x:c r="F38" s="1" t="str">
        <x:v>Camión pequeño</x:v>
      </x:c>
      <x:c r="G38" s="1" t="n">
        <x:v>1</x:v>
      </x:c>
      <x:c r="H38" s="5" t="n">
        <x:f>ROUND(2*T38+U38,2)</x:f>
        <x:v>73.78</x:v>
      </x:c>
      <x:c r="I38" s="5" t="n">
        <x:f>MIN(H38,ROUND(T38+V38+W38,2))</x:f>
        <x:v>73.78</x:v>
      </x:c>
      <x:c r="J38" s="5" t="n">
        <x:f>ROUND(H38-I38,2)</x:f>
        <x:v>0</x:v>
      </x:c>
      <x:c r="K38" s="5" t="n">
        <x:f>IF(H38=0,0,ROUND(100*J38/H38,2))</x:f>
        <x:v>0</x:v>
      </x:c>
      <x:c r="L38" s="5" t="n">
        <x:f>SUMIF(Pedidos!$L$2:$L$231,A38,Pedidos!$Q$2:$Q$231)</x:f>
        <x:v>351.61</x:v>
      </x:c>
      <x:c r="M38" s="5" t="n">
        <x:f>IF(J38=0,L38,MIN(L38,ROUND(I38/Vehiculos!$E$6*Vehiculos!$F$6,2)))</x:f>
        <x:v>351.61</x:v>
      </x:c>
      <x:c r="N38" s="5" t="n">
        <x:f>ROUND(L38-M38,2)</x:f>
        <x:v>0</x:v>
      </x:c>
      <x:c r="O38" s="5" t="n">
        <x:f>ROUND(H38/Vehiculos!$G$6*60+G38*8,0)</x:f>
        <x:v>111</x:v>
      </x:c>
      <x:c r="P38" s="5" t="n">
        <x:f>MIN(O38,ROUND(I38/Vehiculos!$G$6*60+G38*8,0))</x:f>
        <x:v>111</x:v>
      </x:c>
      <x:c r="Q38" s="5" t="n">
        <x:f>O38-P38</x:f>
        <x:v>0</x:v>
      </x:c>
      <x:c r="R38" s="1" t="str">
        <x:v>P0102</x:v>
      </x:c>
      <x:c r="S38" s="1" t="str">
        <x:v>San Francisco</x:v>
      </x:c>
      <x:c r="T38" s="1" t="n">
        <x:f>Parametros_Operacion!$B$8</x:f>
        <x:v>35</x:v>
      </x:c>
      <x:c r="U38" s="1" t="n">
        <x:v>3.78</x:v>
      </x:c>
      <x:c r="V38" s="1" t="n">
        <x:v>3.78</x:v>
      </x:c>
      <x:c r="W38" s="1" t="n">
        <x:f>T38</x:f>
        <x:v>35</x:v>
      </x:c>
    </x:row>
    <x:row r="39">
      <x:c r="A39" s="1" t="str">
        <x:v>RT-20260510-R006</x:v>
      </x:c>
      <x:c r="B39" s="1" t="str">
        <x:v>2026-05-10</x:v>
      </x:c>
      <x:c r="C39" s="1" t="str">
        <x:v>R006</x:v>
      </x:c>
      <x:c r="D39" s="1" t="str">
        <x:v>Kevin Flores</x:v>
      </x:c>
      <x:c r="E39" s="1" t="str">
        <x:v>V006</x:v>
      </x:c>
      <x:c r="F39" s="1" t="str">
        <x:v>Pickup con carrocería</x:v>
      </x:c>
      <x:c r="G39" s="1" t="n">
        <x:v>2</x:v>
      </x:c>
      <x:c r="H39" s="5" t="n">
        <x:f>ROUND(2*T39+U39,2)</x:f>
        <x:v>162.85</x:v>
      </x:c>
      <x:c r="I39" s="5" t="n">
        <x:f>MIN(H39,ROUND(T39+V39+W39,2))</x:f>
        <x:v>162.85</x:v>
      </x:c>
      <x:c r="J39" s="5" t="n">
        <x:f>ROUND(H39-I39,2)</x:f>
        <x:v>0</x:v>
      </x:c>
      <x:c r="K39" s="5" t="n">
        <x:f>IF(H39=0,0,ROUND(100*J39/H39,2))</x:f>
        <x:v>0</x:v>
      </x:c>
      <x:c r="L39" s="5" t="n">
        <x:f>SUMIF(Pedidos!$L$2:$L$231,A39,Pedidos!$Q$2:$Q$231)</x:f>
        <x:v>620.87</x:v>
      </x:c>
      <x:c r="M39" s="5" t="n">
        <x:f>IF(J39=0,L39,MIN(L39,ROUND(I39/Vehiculos!$E$7*Vehiculos!$F$7,2)))</x:f>
        <x:v>620.87</x:v>
      </x:c>
      <x:c r="N39" s="5" t="n">
        <x:f>ROUND(L39-M39,2)</x:f>
        <x:v>0</x:v>
      </x:c>
      <x:c r="O39" s="5" t="n">
        <x:f>ROUND(H39/Vehiculos!$G$7*60+G39*8,0)</x:f>
        <x:v>224</x:v>
      </x:c>
      <x:c r="P39" s="5" t="n">
        <x:f>MIN(O39,ROUND(I39/Vehiculos!$G$7*60+G39*8,0))</x:f>
        <x:v>224</x:v>
      </x:c>
      <x:c r="Q39" s="5" t="n">
        <x:f>O39-P39</x:f>
        <x:v>0</x:v>
      </x:c>
      <x:c r="R39" s="1" t="str">
        <x:v>P0072 &gt; P0108</x:v>
      </x:c>
      <x:c r="S39" s="1" t="str">
        <x:v>Arizona</x:v>
      </x:c>
      <x:c r="T39" s="1" t="n">
        <x:f>Parametros_Operacion!$B$2</x:f>
        <x:v>72.5</x:v>
      </x:c>
      <x:c r="U39" s="1" t="n">
        <x:v>17.85</x:v>
      </x:c>
      <x:c r="V39" s="1" t="n">
        <x:v>17.85</x:v>
      </x:c>
      <x:c r="W39" s="1" t="n">
        <x:f>T39</x:f>
        <x:v>72.5</x:v>
      </x:c>
    </x:row>
    <x:row r="40">
      <x:c r="A40" s="1" t="str">
        <x:v>RT-20260510-R007</x:v>
      </x:c>
      <x:c r="B40" s="1" t="str">
        <x:v>2026-05-10</x:v>
      </x:c>
      <x:c r="C40" s="1" t="str">
        <x:v>R007</x:v>
      </x:c>
      <x:c r="D40" s="1" t="str">
        <x:v>María Hernández</x:v>
      </x:c>
      <x:c r="E40" s="1" t="str">
        <x:v>V007</x:v>
      </x:c>
      <x:c r="F40" s="1" t="str">
        <x:v>Pickup con carrocería</x:v>
      </x:c>
      <x:c r="G40" s="1" t="n">
        <x:v>1</x:v>
      </x:c>
      <x:c r="H40" s="5" t="n">
        <x:f>ROUND(2*T40+U40,2)</x:f>
        <x:v>155.42</x:v>
      </x:c>
      <x:c r="I40" s="5" t="n">
        <x:f>MIN(H40,ROUND(T40+V40+W40,2))</x:f>
        <x:v>155.42</x:v>
      </x:c>
      <x:c r="J40" s="5" t="n">
        <x:f>ROUND(H40-I40,2)</x:f>
        <x:v>0</x:v>
      </x:c>
      <x:c r="K40" s="5" t="n">
        <x:f>IF(H40=0,0,ROUND(100*J40/H40,2))</x:f>
        <x:v>0</x:v>
      </x:c>
      <x:c r="L40" s="5" t="n">
        <x:f>SUMIF(Pedidos!$L$2:$L$231,A40,Pedidos!$Q$2:$Q$231)</x:f>
        <x:v>592.54</x:v>
      </x:c>
      <x:c r="M40" s="5" t="n">
        <x:f>IF(J40=0,L40,MIN(L40,ROUND(I40/Vehiculos!$E$8*Vehiculos!$F$8,2)))</x:f>
        <x:v>592.54</x:v>
      </x:c>
      <x:c r="N40" s="5" t="n">
        <x:f>ROUND(L40-M40,2)</x:f>
        <x:v>0</x:v>
      </x:c>
      <x:c r="O40" s="5" t="n">
        <x:f>ROUND(H40/Vehiculos!$G$8*60+G40*8,0)</x:f>
        <x:v>211</x:v>
      </x:c>
      <x:c r="P40" s="5" t="n">
        <x:f>MIN(O40,ROUND(I40/Vehiculos!$G$8*60+G40*8,0))</x:f>
        <x:v>211</x:v>
      </x:c>
      <x:c r="Q40" s="5" t="n">
        <x:f>O40-P40</x:f>
        <x:v>0</x:v>
      </x:c>
      <x:c r="R40" s="1" t="str">
        <x:v>P0073</x:v>
      </x:c>
      <x:c r="S40" s="1" t="str">
        <x:v>Esparta</x:v>
      </x:c>
      <x:c r="T40" s="1" t="n">
        <x:f>Parametros_Operacion!$B$4</x:f>
        <x:v>75.5</x:v>
      </x:c>
      <x:c r="U40" s="1" t="n">
        <x:v>4.42</x:v>
      </x:c>
      <x:c r="V40" s="1" t="n">
        <x:v>4.42</x:v>
      </x:c>
      <x:c r="W40" s="1" t="n">
        <x:f>T40</x:f>
        <x:v>75.5</x:v>
      </x:c>
    </x:row>
    <x:row r="41">
      <x:c r="A41" s="1" t="str">
        <x:v>RT-20260510-R008</x:v>
      </x:c>
      <x:c r="B41" s="1" t="str">
        <x:v>2026-05-10</x:v>
      </x:c>
      <x:c r="C41" s="1" t="str">
        <x:v>R008</x:v>
      </x:c>
      <x:c r="D41" s="1" t="str">
        <x:v>Jorge Castro</x:v>
      </x:c>
      <x:c r="E41" s="1" t="str">
        <x:v>V008</x:v>
      </x:c>
      <x:c r="F41" s="1" t="str">
        <x:v>Camión pequeño</x:v>
      </x:c>
      <x:c r="G41" s="1" t="n">
        <x:v>1</x:v>
      </x:c>
      <x:c r="H41" s="5" t="n">
        <x:f>ROUND(2*T41+U41,2)</x:f>
        <x:v>38.32</x:v>
      </x:c>
      <x:c r="I41" s="5" t="n">
        <x:f>MIN(H41,ROUND(T41+V41+W41,2))</x:f>
        <x:v>38.32</x:v>
      </x:c>
      <x:c r="J41" s="5" t="n">
        <x:f>ROUND(H41-I41,2)</x:f>
        <x:v>0</x:v>
      </x:c>
      <x:c r="K41" s="5" t="n">
        <x:f>IF(H41=0,0,ROUND(100*J41/H41,2))</x:f>
        <x:v>0</x:v>
      </x:c>
      <x:c r="L41" s="5" t="n">
        <x:f>SUMIF(Pedidos!$L$2:$L$231,A41,Pedidos!$Q$2:$Q$231)</x:f>
        <x:v>194.79</x:v>
      </x:c>
      <x:c r="M41" s="5" t="n">
        <x:f>IF(J41=0,L41,MIN(L41,ROUND(I41/Vehiculos!$E$9*Vehiculos!$F$9,2)))</x:f>
        <x:v>194.79</x:v>
      </x:c>
      <x:c r="N41" s="5" t="n">
        <x:f>ROUND(L41-M41,2)</x:f>
        <x:v>0</x:v>
      </x:c>
      <x:c r="O41" s="5" t="n">
        <x:f>ROUND(H41/Vehiculos!$G$9*60+G41*8,0)</x:f>
        <x:v>63</x:v>
      </x:c>
      <x:c r="P41" s="5" t="n">
        <x:f>MIN(O41,ROUND(I41/Vehiculos!$G$9*60+G41*8,0))</x:f>
        <x:v>63</x:v>
      </x:c>
      <x:c r="Q41" s="5" t="n">
        <x:f>O41-P41</x:f>
        <x:v>0</x:v>
      </x:c>
      <x:c r="R41" s="1" t="str">
        <x:v>P0077</x:v>
      </x:c>
      <x:c r="S41" s="1" t="str">
        <x:v>El Porvenir</x:v>
      </x:c>
      <x:c r="T41" s="1" t="n">
        <x:f>Parametros_Operacion!$B$3</x:f>
        <x:v>16.5</x:v>
      </x:c>
      <x:c r="U41" s="1" t="n">
        <x:v>5.32</x:v>
      </x:c>
      <x:c r="V41" s="1" t="n">
        <x:v>5.32</x:v>
      </x:c>
      <x:c r="W41" s="1" t="n">
        <x:f>T41</x:f>
        <x:v>16.5</x:v>
      </x:c>
    </x:row>
    <x:row r="42">
      <x:c r="A42" s="1" t="str">
        <x:v>RT-20260511-R001</x:v>
      </x:c>
      <x:c r="B42" s="1" t="str">
        <x:v>2026-05-11</x:v>
      </x:c>
      <x:c r="C42" s="1" t="str">
        <x:v>R001</x:v>
      </x:c>
      <x:c r="D42" s="1" t="str">
        <x:v>Carlos Mejía</x:v>
      </x:c>
      <x:c r="E42" s="1" t="str">
        <x:v>V001</x:v>
      </x:c>
      <x:c r="F42" s="1" t="str">
        <x:v>Pickup con carrocería</x:v>
      </x:c>
      <x:c r="G42" s="1" t="n">
        <x:v>1</x:v>
      </x:c>
      <x:c r="H42" s="5" t="n">
        <x:f>ROUND(2*T42+U42,2)</x:f>
        <x:v>5</x:v>
      </x:c>
      <x:c r="I42" s="5" t="n">
        <x:f>MIN(H42,ROUND(T42+V42+W42,2))</x:f>
        <x:v>5</x:v>
      </x:c>
      <x:c r="J42" s="5" t="n">
        <x:f>ROUND(H42-I42,2)</x:f>
        <x:v>0</x:v>
      </x:c>
      <x:c r="K42" s="5" t="n">
        <x:f>IF(H42=0,0,ROUND(100*J42/H42,2))</x:f>
        <x:v>0</x:v>
      </x:c>
      <x:c r="L42" s="5" t="n">
        <x:f>SUMIF(Pedidos!$L$2:$L$231,A42,Pedidos!$Q$2:$Q$231)</x:f>
        <x:v>17.33</x:v>
      </x:c>
      <x:c r="M42" s="5" t="n">
        <x:f>IF(J42=0,L42,MIN(L42,ROUND(I42/Vehiculos!$E$2*Vehiculos!$F$2,2)))</x:f>
        <x:v>17.33</x:v>
      </x:c>
      <x:c r="N42" s="5" t="n">
        <x:f>ROUND(L42-M42,2)</x:f>
        <x:v>0</x:v>
      </x:c>
      <x:c r="O42" s="5" t="n">
        <x:f>ROUND(H42/Vehiculos!$G$2*60+G42*8,0)</x:f>
        <x:v>14</x:v>
      </x:c>
      <x:c r="P42" s="5" t="n">
        <x:f>MIN(O42,ROUND(I42/Vehiculos!$G$2*60+G42*8,0))</x:f>
        <x:v>14</x:v>
      </x:c>
      <x:c r="Q42" s="5" t="n">
        <x:f>O42-P42</x:f>
        <x:v>0</x:v>
      </x:c>
      <x:c r="R42" s="1" t="str">
        <x:v>P0090</x:v>
      </x:c>
      <x:c r="S42" s="1" t="str">
        <x:v>La Ceiba</x:v>
      </x:c>
      <x:c r="T42" s="1" t="n">
        <x:f>Parametros_Operacion!$B$6</x:f>
        <x:v>0</x:v>
      </x:c>
      <x:c r="U42" s="1" t="n">
        <x:v>5</x:v>
      </x:c>
      <x:c r="V42" s="1" t="n">
        <x:v>5</x:v>
      </x:c>
      <x:c r="W42" s="1" t="n">
        <x:f>T42</x:f>
        <x:v>0</x:v>
      </x:c>
    </x:row>
    <x:row r="43">
      <x:c r="A43" s="1" t="str">
        <x:v>RT-20260511-R002</x:v>
      </x:c>
      <x:c r="B43" s="1" t="str">
        <x:v>2026-05-11</x:v>
      </x:c>
      <x:c r="C43" s="1" t="str">
        <x:v>R002</x:v>
      </x:c>
      <x:c r="D43" s="1" t="str">
        <x:v>Ana López</x:v>
      </x:c>
      <x:c r="E43" s="1" t="str">
        <x:v>V002</x:v>
      </x:c>
      <x:c r="F43" s="1" t="str">
        <x:v>Pickup con carrocería</x:v>
      </x:c>
      <x:c r="G43" s="1" t="n">
        <x:v>2</x:v>
      </x:c>
      <x:c r="H43" s="5" t="n">
        <x:f>ROUND(2*T43+U43,2)</x:f>
        <x:v>216.82</x:v>
      </x:c>
      <x:c r="I43" s="5" t="n">
        <x:f>MIN(H43,ROUND(T43+V43+W43,2))</x:f>
        <x:v>216.82</x:v>
      </x:c>
      <x:c r="J43" s="5" t="n">
        <x:f>ROUND(H43-I43,2)</x:f>
        <x:v>0</x:v>
      </x:c>
      <x:c r="K43" s="5" t="n">
        <x:f>IF(H43=0,0,ROUND(100*J43/H43,2))</x:f>
        <x:v>0</x:v>
      </x:c>
      <x:c r="L43" s="5" t="n">
        <x:f>SUMIF(Pedidos!$L$2:$L$231,A43,Pedidos!$Q$2:$Q$231)</x:f>
        <x:v>787.26</x:v>
      </x:c>
      <x:c r="M43" s="5" t="n">
        <x:f>IF(J43=0,L43,MIN(L43,ROUND(I43/Vehiculos!$E$3*Vehiculos!$F$3,2)))</x:f>
        <x:v>787.26</x:v>
      </x:c>
      <x:c r="N43" s="5" t="n">
        <x:f>ROUND(L43-M43,2)</x:f>
        <x:v>0</x:v>
      </x:c>
      <x:c r="O43" s="5" t="n">
        <x:f>ROUND(H43/Vehiculos!$G$3*60+G43*8,0)</x:f>
        <x:v>287</x:v>
      </x:c>
      <x:c r="P43" s="5" t="n">
        <x:f>MIN(O43,ROUND(I43/Vehiculos!$G$3*60+G43*8,0))</x:f>
        <x:v>287</x:v>
      </x:c>
      <x:c r="Q43" s="5" t="n">
        <x:f>O43-P43</x:f>
        <x:v>0</x:v>
      </x:c>
      <x:c r="R43" s="1" t="str">
        <x:v>P0088 &gt; P0083</x:v>
      </x:c>
      <x:c r="S43" s="1" t="str">
        <x:v>Tela</x:v>
      </x:c>
      <x:c r="T43" s="1" t="n">
        <x:f>Parametros_Operacion!$B$9</x:f>
        <x:v>102.3</x:v>
      </x:c>
      <x:c r="U43" s="1" t="n">
        <x:v>12.22</x:v>
      </x:c>
      <x:c r="V43" s="1" t="n">
        <x:v>12.22</x:v>
      </x:c>
      <x:c r="W43" s="1" t="n">
        <x:f>T43</x:f>
        <x:v>102.3</x:v>
      </x:c>
    </x:row>
    <x:row r="44">
      <x:c r="A44" s="1" t="str">
        <x:v>RT-20260511-R004</x:v>
      </x:c>
      <x:c r="B44" s="1" t="str">
        <x:v>2026-05-11</x:v>
      </x:c>
      <x:c r="C44" s="1" t="str">
        <x:v>R004</x:v>
      </x:c>
      <x:c r="D44" s="1" t="str">
        <x:v>Daniela Cruz</x:v>
      </x:c>
      <x:c r="E44" s="1" t="str">
        <x:v>V004</x:v>
      </x:c>
      <x:c r="F44" s="1" t="str">
        <x:v>Pickup con carrocería</x:v>
      </x:c>
      <x:c r="G44" s="1" t="n">
        <x:v>3</x:v>
      </x:c>
      <x:c r="H44" s="5" t="n">
        <x:f>ROUND(2*T44+U44,2)</x:f>
        <x:v>91.4</x:v>
      </x:c>
      <x:c r="I44" s="5" t="n">
        <x:f>MIN(H44,ROUND(T44+V44+W44,2))</x:f>
        <x:v>91.4</x:v>
      </x:c>
      <x:c r="J44" s="5" t="n">
        <x:f>ROUND(H44-I44,2)</x:f>
        <x:v>0</x:v>
      </x:c>
      <x:c r="K44" s="5" t="n">
        <x:f>IF(H44=0,0,ROUND(100*J44/H44,2))</x:f>
        <x:v>0</x:v>
      </x:c>
      <x:c r="L44" s="5" t="n">
        <x:f>SUMIF(Pedidos!$L$2:$L$231,A44,Pedidos!$Q$2:$Q$231)</x:f>
        <x:v>331.87</x:v>
      </x:c>
      <x:c r="M44" s="5" t="n">
        <x:f>IF(J44=0,L44,MIN(L44,ROUND(I44/Vehiculos!$E$5*Vehiculos!$F$5,2)))</x:f>
        <x:v>331.87</x:v>
      </x:c>
      <x:c r="N44" s="5" t="n">
        <x:f>ROUND(L44-M44,2)</x:f>
        <x:v>0</x:v>
      </x:c>
      <x:c r="O44" s="5" t="n">
        <x:f>ROUND(H44/Vehiculos!$G$5*60+G44*8,0)</x:f>
        <x:v>136</x:v>
      </x:c>
      <x:c r="P44" s="5" t="n">
        <x:f>MIN(O44,ROUND(I44/Vehiculos!$G$5*60+G44*8,0))</x:f>
        <x:v>136</x:v>
      </x:c>
      <x:c r="Q44" s="5" t="n">
        <x:f>O44-P44</x:f>
        <x:v>0</x:v>
      </x:c>
      <x:c r="R44" s="1" t="str">
        <x:v>P0057 &gt; P0085 &gt; P0119</x:v>
      </x:c>
      <x:c r="S44" s="1" t="str">
        <x:v>La Masica</x:v>
      </x:c>
      <x:c r="T44" s="1" t="n">
        <x:f>Parametros_Operacion!$B$7</x:f>
        <x:v>41.2</x:v>
      </x:c>
      <x:c r="U44" s="1" t="n">
        <x:v>9</x:v>
      </x:c>
      <x:c r="V44" s="1" t="n">
        <x:v>9</x:v>
      </x:c>
      <x:c r="W44" s="1" t="n">
        <x:f>T44</x:f>
        <x:v>41.2</x:v>
      </x:c>
    </x:row>
    <x:row r="45">
      <x:c r="A45" s="1" t="str">
        <x:v>RT-20260511-R006</x:v>
      </x:c>
      <x:c r="B45" s="1" t="str">
        <x:v>2026-05-11</x:v>
      </x:c>
      <x:c r="C45" s="1" t="str">
        <x:v>R006</x:v>
      </x:c>
      <x:c r="D45" s="1" t="str">
        <x:v>Kevin Flores</x:v>
      </x:c>
      <x:c r="E45" s="1" t="str">
        <x:v>V006</x:v>
      </x:c>
      <x:c r="F45" s="1" t="str">
        <x:v>Pickup con carrocería</x:v>
      </x:c>
      <x:c r="G45" s="1" t="n">
        <x:v>1</x:v>
      </x:c>
      <x:c r="H45" s="5" t="n">
        <x:f>ROUND(2*T45+U45,2)</x:f>
        <x:v>152.16</x:v>
      </x:c>
      <x:c r="I45" s="5" t="n">
        <x:f>MIN(H45,ROUND(T45+V45+W45,2))</x:f>
        <x:v>152.16</x:v>
      </x:c>
      <x:c r="J45" s="5" t="n">
        <x:f>ROUND(H45-I45,2)</x:f>
        <x:v>0</x:v>
      </x:c>
      <x:c r="K45" s="5" t="n">
        <x:f>IF(H45=0,0,ROUND(100*J45/H45,2))</x:f>
        <x:v>0</x:v>
      </x:c>
      <x:c r="L45" s="5" t="n">
        <x:f>SUMIF(Pedidos!$L$2:$L$231,A45,Pedidos!$Q$2:$Q$231)</x:f>
        <x:v>580.11</x:v>
      </x:c>
      <x:c r="M45" s="5" t="n">
        <x:f>IF(J45=0,L45,MIN(L45,ROUND(I45/Vehiculos!$E$7*Vehiculos!$F$7,2)))</x:f>
        <x:v>580.11</x:v>
      </x:c>
      <x:c r="N45" s="5" t="n">
        <x:f>ROUND(L45-M45,2)</x:f>
        <x:v>0</x:v>
      </x:c>
      <x:c r="O45" s="5" t="n">
        <x:f>ROUND(H45/Vehiculos!$G$7*60+G45*8,0)</x:f>
        <x:v>202</x:v>
      </x:c>
      <x:c r="P45" s="5" t="n">
        <x:f>MIN(O45,ROUND(I45/Vehiculos!$G$7*60+G45*8,0))</x:f>
        <x:v>202</x:v>
      </x:c>
      <x:c r="Q45" s="5" t="n">
        <x:f>O45-P45</x:f>
        <x:v>0</x:v>
      </x:c>
      <x:c r="R45" s="1" t="str">
        <x:v>P0020</x:v>
      </x:c>
      <x:c r="S45" s="1" t="str">
        <x:v>Arizona</x:v>
      </x:c>
      <x:c r="T45" s="1" t="n">
        <x:f>Parametros_Operacion!$B$2</x:f>
        <x:v>72.5</x:v>
      </x:c>
      <x:c r="U45" s="1" t="n">
        <x:v>7.16</x:v>
      </x:c>
      <x:c r="V45" s="1" t="n">
        <x:v>7.16</x:v>
      </x:c>
      <x:c r="W45" s="1" t="n">
        <x:f>T45</x:f>
        <x:v>72.5</x:v>
      </x:c>
    </x:row>
    <x:row r="46">
      <x:c r="A46" s="1" t="str">
        <x:v>RT-20260511-R007</x:v>
      </x:c>
      <x:c r="B46" s="1" t="str">
        <x:v>2026-05-11</x:v>
      </x:c>
      <x:c r="C46" s="1" t="str">
        <x:v>R007</x:v>
      </x:c>
      <x:c r="D46" s="1" t="str">
        <x:v>María Hernández</x:v>
      </x:c>
      <x:c r="E46" s="1" t="str">
        <x:v>V007</x:v>
      </x:c>
      <x:c r="F46" s="1" t="str">
        <x:v>Pickup con carrocería</x:v>
      </x:c>
      <x:c r="G46" s="1" t="n">
        <x:v>3</x:v>
      </x:c>
      <x:c r="H46" s="5" t="n">
        <x:f>ROUND(2*T46+U46,2)</x:f>
        <x:v>168.65</x:v>
      </x:c>
      <x:c r="I46" s="5" t="n">
        <x:f>MIN(H46,ROUND(T46+V46+W46,2))</x:f>
        <x:v>166.16</x:v>
      </x:c>
      <x:c r="J46" s="5" t="n">
        <x:f>ROUND(H46-I46,2)</x:f>
        <x:v>2.49</x:v>
      </x:c>
      <x:c r="K46" s="5" t="n">
        <x:f>IF(H46=0,0,ROUND(100*J46/H46,2))</x:f>
        <x:v>1.48</x:v>
      </x:c>
      <x:c r="L46" s="5" t="n">
        <x:f>SUMIF(Pedidos!$L$2:$L$231,A46,Pedidos!$Q$2:$Q$231)</x:f>
        <x:v>642.98</x:v>
      </x:c>
      <x:c r="M46" s="5" t="n">
        <x:f>IF(J46=0,L46,MIN(L46,ROUND(I46/Vehiculos!$E$8*Vehiculos!$F$8,2)))</x:f>
        <x:v>633.49</x:v>
      </x:c>
      <x:c r="N46" s="5" t="n">
        <x:f>ROUND(L46-M46,2)</x:f>
        <x:v>9.49</x:v>
      </x:c>
      <x:c r="O46" s="5" t="n">
        <x:f>ROUND(H46/Vehiculos!$G$8*60+G46*8,0)</x:f>
        <x:v>244</x:v>
      </x:c>
      <x:c r="P46" s="5" t="n">
        <x:f>MIN(O46,ROUND(I46/Vehiculos!$G$8*60+G46*8,0))</x:f>
        <x:v>241</x:v>
      </x:c>
      <x:c r="Q46" s="5" t="n">
        <x:f>O46-P46</x:f>
        <x:v>3</x:v>
      </x:c>
      <x:c r="R46" s="1" t="str">
        <x:v>P0049 &gt; P0056 &gt; P0081</x:v>
      </x:c>
      <x:c r="S46" s="1" t="str">
        <x:v>Esparta</x:v>
      </x:c>
      <x:c r="T46" s="1" t="n">
        <x:f>Parametros_Operacion!$B$4</x:f>
        <x:v>75.5</x:v>
      </x:c>
      <x:c r="U46" s="1" t="n">
        <x:v>17.65</x:v>
      </x:c>
      <x:c r="V46" s="1" t="n">
        <x:v>15.16</x:v>
      </x:c>
      <x:c r="W46" s="1" t="n">
        <x:f>T46</x:f>
        <x:v>75.5</x:v>
      </x:c>
    </x:row>
    <x:row r="47">
      <x:c r="A47" s="1" t="str">
        <x:v>RT-20260511-R008</x:v>
      </x:c>
      <x:c r="B47" s="1" t="str">
        <x:v>2026-05-11</x:v>
      </x:c>
      <x:c r="C47" s="1" t="str">
        <x:v>R008</x:v>
      </x:c>
      <x:c r="D47" s="1" t="str">
        <x:v>Jorge Castro</x:v>
      </x:c>
      <x:c r="E47" s="1" t="str">
        <x:v>V008</x:v>
      </x:c>
      <x:c r="F47" s="1" t="str">
        <x:v>Camión pequeño</x:v>
      </x:c>
      <x:c r="G47" s="1" t="n">
        <x:v>1</x:v>
      </x:c>
      <x:c r="H47" s="5" t="n">
        <x:f>ROUND(2*T47+U47,2)</x:f>
        <x:v>36.02</x:v>
      </x:c>
      <x:c r="I47" s="5" t="n">
        <x:f>MIN(H47,ROUND(T47+V47+W47,2))</x:f>
        <x:v>36.02</x:v>
      </x:c>
      <x:c r="J47" s="5" t="n">
        <x:f>ROUND(H47-I47,2)</x:f>
        <x:v>0</x:v>
      </x:c>
      <x:c r="K47" s="5" t="n">
        <x:f>IF(H47=0,0,ROUND(100*J47/H47,2))</x:f>
        <x:v>0</x:v>
      </x:c>
      <x:c r="L47" s="5" t="n">
        <x:f>SUMIF(Pedidos!$L$2:$L$231,A47,Pedidos!$Q$2:$Q$231)</x:f>
        <x:v>183.1</x:v>
      </x:c>
      <x:c r="M47" s="5" t="n">
        <x:f>IF(J47=0,L47,MIN(L47,ROUND(I47/Vehiculos!$E$9*Vehiculos!$F$9,2)))</x:f>
        <x:v>183.1</x:v>
      </x:c>
      <x:c r="N47" s="5" t="n">
        <x:f>ROUND(L47-M47,2)</x:f>
        <x:v>0</x:v>
      </x:c>
      <x:c r="O47" s="5" t="n">
        <x:f>ROUND(H47/Vehiculos!$G$9*60+G47*8,0)</x:f>
        <x:v>59</x:v>
      </x:c>
      <x:c r="P47" s="5" t="n">
        <x:f>MIN(O47,ROUND(I47/Vehiculos!$G$9*60+G47*8,0))</x:f>
        <x:v>59</x:v>
      </x:c>
      <x:c r="Q47" s="5" t="n">
        <x:f>O47-P47</x:f>
        <x:v>0</x:v>
      </x:c>
      <x:c r="R47" s="1" t="str">
        <x:v>P0118</x:v>
      </x:c>
      <x:c r="S47" s="1" t="str">
        <x:v>El Porvenir</x:v>
      </x:c>
      <x:c r="T47" s="1" t="n">
        <x:f>Parametros_Operacion!$B$3</x:f>
        <x:v>16.5</x:v>
      </x:c>
      <x:c r="U47" s="1" t="n">
        <x:v>3.02</x:v>
      </x:c>
      <x:c r="V47" s="1" t="n">
        <x:v>3.02</x:v>
      </x:c>
      <x:c r="W47" s="1" t="n">
        <x:f>T47</x:f>
        <x:v>16.5</x:v>
      </x:c>
    </x:row>
    <x:row r="48">
      <x:c r="A48" s="1" t="str">
        <x:v>RT-20260512-R002</x:v>
      </x:c>
      <x:c r="B48" s="1" t="str">
        <x:v>2026-05-12</x:v>
      </x:c>
      <x:c r="C48" s="1" t="str">
        <x:v>R002</x:v>
      </x:c>
      <x:c r="D48" s="1" t="str">
        <x:v>Ana López</x:v>
      </x:c>
      <x:c r="E48" s="1" t="str">
        <x:v>V002</x:v>
      </x:c>
      <x:c r="F48" s="1" t="str">
        <x:v>Pickup con carrocería</x:v>
      </x:c>
      <x:c r="G48" s="1" t="n">
        <x:v>2</x:v>
      </x:c>
      <x:c r="H48" s="5" t="n">
        <x:f>ROUND(2*T48+U48,2)</x:f>
        <x:v>219.18</x:v>
      </x:c>
      <x:c r="I48" s="5" t="n">
        <x:f>MIN(H48,ROUND(T48+V48+W48,2))</x:f>
        <x:v>219.18</x:v>
      </x:c>
      <x:c r="J48" s="5" t="n">
        <x:f>ROUND(H48-I48,2)</x:f>
        <x:v>0</x:v>
      </x:c>
      <x:c r="K48" s="5" t="n">
        <x:f>IF(H48=0,0,ROUND(100*J48/H48,2))</x:f>
        <x:v>0</x:v>
      </x:c>
      <x:c r="L48" s="5" t="n">
        <x:f>SUMIF(Pedidos!$L$2:$L$231,A48,Pedidos!$Q$2:$Q$231)</x:f>
        <x:v>795.8299999999999</x:v>
      </x:c>
      <x:c r="M48" s="5" t="n">
        <x:f>IF(J48=0,L48,MIN(L48,ROUND(I48/Vehiculos!$E$3*Vehiculos!$F$3,2)))</x:f>
        <x:v>795.8299999999999</x:v>
      </x:c>
      <x:c r="N48" s="5" t="n">
        <x:f>ROUND(L48-M48,2)</x:f>
        <x:v>0</x:v>
      </x:c>
      <x:c r="O48" s="5" t="n">
        <x:f>ROUND(H48/Vehiculos!$G$3*60+G48*8,0)</x:f>
        <x:v>290</x:v>
      </x:c>
      <x:c r="P48" s="5" t="n">
        <x:f>MIN(O48,ROUND(I48/Vehiculos!$G$3*60+G48*8,0))</x:f>
        <x:v>290</x:v>
      </x:c>
      <x:c r="Q48" s="5" t="n">
        <x:f>O48-P48</x:f>
        <x:v>0</x:v>
      </x:c>
      <x:c r="R48" s="1" t="str">
        <x:v>P0042 &gt; P0031</x:v>
      </x:c>
      <x:c r="S48" s="1" t="str">
        <x:v>Tela</x:v>
      </x:c>
      <x:c r="T48" s="1" t="n">
        <x:f>Parametros_Operacion!$B$9</x:f>
        <x:v>102.3</x:v>
      </x:c>
      <x:c r="U48" s="1" t="n">
        <x:v>14.58</x:v>
      </x:c>
      <x:c r="V48" s="1" t="n">
        <x:v>14.58</x:v>
      </x:c>
      <x:c r="W48" s="1" t="n">
        <x:f>T48</x:f>
        <x:v>102.3</x:v>
      </x:c>
    </x:row>
    <x:row r="49">
      <x:c r="A49" s="1" t="str">
        <x:v>RT-20260512-R004</x:v>
      </x:c>
      <x:c r="B49" s="1" t="str">
        <x:v>2026-05-12</x:v>
      </x:c>
      <x:c r="C49" s="1" t="str">
        <x:v>R004</x:v>
      </x:c>
      <x:c r="D49" s="1" t="str">
        <x:v>Daniela Cruz</x:v>
      </x:c>
      <x:c r="E49" s="1" t="str">
        <x:v>V004</x:v>
      </x:c>
      <x:c r="F49" s="1" t="str">
        <x:v>Pickup con carrocería</x:v>
      </x:c>
      <x:c r="G49" s="1" t="n">
        <x:v>2</x:v>
      </x:c>
      <x:c r="H49" s="5" t="n">
        <x:f>ROUND(2*T49+U49,2)</x:f>
        <x:v>95.36</x:v>
      </x:c>
      <x:c r="I49" s="5" t="n">
        <x:f>MIN(H49,ROUND(T49+V49+W49,2))</x:f>
        <x:v>95.36</x:v>
      </x:c>
      <x:c r="J49" s="5" t="n">
        <x:f>ROUND(H49-I49,2)</x:f>
        <x:v>0</x:v>
      </x:c>
      <x:c r="K49" s="5" t="n">
        <x:f>IF(H49=0,0,ROUND(100*J49/H49,2))</x:f>
        <x:v>0</x:v>
      </x:c>
      <x:c r="L49" s="5" t="n">
        <x:f>SUMIF(Pedidos!$L$2:$L$231,A49,Pedidos!$Q$2:$Q$231)</x:f>
        <x:v>346.25</x:v>
      </x:c>
      <x:c r="M49" s="5" t="n">
        <x:f>IF(J49=0,L49,MIN(L49,ROUND(I49/Vehiculos!$E$5*Vehiculos!$F$5,2)))</x:f>
        <x:v>346.25</x:v>
      </x:c>
      <x:c r="N49" s="5" t="n">
        <x:f>ROUND(L49-M49,2)</x:f>
        <x:v>0</x:v>
      </x:c>
      <x:c r="O49" s="5" t="n">
        <x:f>ROUND(H49/Vehiculos!$G$5*60+G49*8,0)</x:f>
        <x:v>133</x:v>
      </x:c>
      <x:c r="P49" s="5" t="n">
        <x:f>MIN(O49,ROUND(I49/Vehiculos!$G$5*60+G49*8,0))</x:f>
        <x:v>133</x:v>
      </x:c>
      <x:c r="Q49" s="5" t="n">
        <x:f>O49-P49</x:f>
        <x:v>0</x:v>
      </x:c>
      <x:c r="R49" s="1" t="str">
        <x:v>P0068 &gt; P0123</x:v>
      </x:c>
      <x:c r="S49" s="1" t="str">
        <x:v>La Masica</x:v>
      </x:c>
      <x:c r="T49" s="1" t="n">
        <x:f>Parametros_Operacion!$B$7</x:f>
        <x:v>41.2</x:v>
      </x:c>
      <x:c r="U49" s="1" t="n">
        <x:v>12.96</x:v>
      </x:c>
      <x:c r="V49" s="1" t="n">
        <x:v>12.96</x:v>
      </x:c>
      <x:c r="W49" s="1" t="n">
        <x:f>T49</x:f>
        <x:v>41.2</x:v>
      </x:c>
    </x:row>
    <x:row r="50">
      <x:c r="A50" s="1" t="str">
        <x:v>RT-20260512-R007</x:v>
      </x:c>
      <x:c r="B50" s="1" t="str">
        <x:v>2026-05-12</x:v>
      </x:c>
      <x:c r="C50" s="1" t="str">
        <x:v>R007</x:v>
      </x:c>
      <x:c r="D50" s="1" t="str">
        <x:v>María Hernández</x:v>
      </x:c>
      <x:c r="E50" s="1" t="str">
        <x:v>V007</x:v>
      </x:c>
      <x:c r="F50" s="1" t="str">
        <x:v>Pickup con carrocería</x:v>
      </x:c>
      <x:c r="G50" s="1" t="n">
        <x:v>1</x:v>
      </x:c>
      <x:c r="H50" s="5" t="n">
        <x:f>ROUND(2*T50+U50,2)</x:f>
        <x:v>155.42</x:v>
      </x:c>
      <x:c r="I50" s="5" t="n">
        <x:f>MIN(H50,ROUND(T50+V50+W50,2))</x:f>
        <x:v>155.42</x:v>
      </x:c>
      <x:c r="J50" s="5" t="n">
        <x:f>ROUND(H50-I50,2)</x:f>
        <x:v>0</x:v>
      </x:c>
      <x:c r="K50" s="5" t="n">
        <x:f>IF(H50=0,0,ROUND(100*J50/H50,2))</x:f>
        <x:v>0</x:v>
      </x:c>
      <x:c r="L50" s="5" t="n">
        <x:f>SUMIF(Pedidos!$L$2:$L$231,A50,Pedidos!$Q$2:$Q$231)</x:f>
        <x:v>592.54</x:v>
      </x:c>
      <x:c r="M50" s="5" t="n">
        <x:f>IF(J50=0,L50,MIN(L50,ROUND(I50/Vehiculos!$E$8*Vehiculos!$F$8,2)))</x:f>
        <x:v>592.54</x:v>
      </x:c>
      <x:c r="N50" s="5" t="n">
        <x:f>ROUND(L50-M50,2)</x:f>
        <x:v>0</x:v>
      </x:c>
      <x:c r="O50" s="5" t="n">
        <x:f>ROUND(H50/Vehiculos!$G$8*60+G50*8,0)</x:f>
        <x:v>211</x:v>
      </x:c>
      <x:c r="P50" s="5" t="n">
        <x:f>MIN(O50,ROUND(I50/Vehiculos!$G$8*60+G50*8,0))</x:f>
        <x:v>211</x:v>
      </x:c>
      <x:c r="Q50" s="5" t="n">
        <x:f>O50-P50</x:f>
        <x:v>0</x:v>
      </x:c>
      <x:c r="R50" s="1" t="str">
        <x:v>P0121</x:v>
      </x:c>
      <x:c r="S50" s="1" t="str">
        <x:v>Esparta</x:v>
      </x:c>
      <x:c r="T50" s="1" t="n">
        <x:f>Parametros_Operacion!$B$4</x:f>
        <x:v>75.5</x:v>
      </x:c>
      <x:c r="U50" s="1" t="n">
        <x:v>4.42</x:v>
      </x:c>
      <x:c r="V50" s="1" t="n">
        <x:v>4.42</x:v>
      </x:c>
      <x:c r="W50" s="1" t="n">
        <x:f>T50</x:f>
        <x:v>75.5</x:v>
      </x:c>
    </x:row>
    <x:row r="51">
      <x:c r="A51" s="1" t="str">
        <x:v>RT-20260513-R003</x:v>
      </x:c>
      <x:c r="B51" s="1" t="str">
        <x:v>2026-05-13</x:v>
      </x:c>
      <x:c r="C51" s="1" t="str">
        <x:v>R003</x:v>
      </x:c>
      <x:c r="D51" s="1" t="str">
        <x:v>Luis Ramírez</x:v>
      </x:c>
      <x:c r="E51" s="1" t="str">
        <x:v>V003</x:v>
      </x:c>
      <x:c r="F51" s="1" t="str">
        <x:v>Pickup con carrocería</x:v>
      </x:c>
      <x:c r="G51" s="1" t="n">
        <x:v>1</x:v>
      </x:c>
      <x:c r="H51" s="5" t="n">
        <x:f>ROUND(2*T51+U51,2)</x:f>
        <x:v>65.94</x:v>
      </x:c>
      <x:c r="I51" s="5" t="n">
        <x:f>MIN(H51,ROUND(T51+V51+W51,2))</x:f>
        <x:v>65.94</x:v>
      </x:c>
      <x:c r="J51" s="5" t="n">
        <x:f>ROUND(H51-I51,2)</x:f>
        <x:v>0</x:v>
      </x:c>
      <x:c r="K51" s="5" t="n">
        <x:f>IF(H51=0,0,ROUND(100*J51/H51,2))</x:f>
        <x:v>0</x:v>
      </x:c>
      <x:c r="L51" s="5" t="n">
        <x:f>SUMIF(Pedidos!$L$2:$L$231,A51,Pedidos!$Q$2:$Q$231)</x:f>
        <x:v>251.4</x:v>
      </x:c>
      <x:c r="M51" s="5" t="n">
        <x:f>IF(J51=0,L51,MIN(L51,ROUND(I51/Vehiculos!$E$4*Vehiculos!$F$4,2)))</x:f>
        <x:v>251.4</x:v>
      </x:c>
      <x:c r="N51" s="5" t="n">
        <x:f>ROUND(L51-M51,2)</x:f>
        <x:v>0</x:v>
      </x:c>
      <x:c r="O51" s="5" t="n">
        <x:f>ROUND(H51/Vehiculos!$G$4*60+G51*8,0)</x:f>
        <x:v>92</x:v>
      </x:c>
      <x:c r="P51" s="5" t="n">
        <x:f>MIN(O51,ROUND(I51/Vehiculos!$G$4*60+G51*8,0))</x:f>
        <x:v>92</x:v>
      </x:c>
      <x:c r="Q51" s="5" t="n">
        <x:f>O51-P51</x:f>
        <x:v>0</x:v>
      </x:c>
      <x:c r="R51" s="1" t="str">
        <x:v>P0106</x:v>
      </x:c>
      <x:c r="S51" s="1" t="str">
        <x:v>Jutiapa</x:v>
      </x:c>
      <x:c r="T51" s="1" t="n">
        <x:f>Parametros_Operacion!$B$5</x:f>
        <x:v>31.4</x:v>
      </x:c>
      <x:c r="U51" s="1" t="n">
        <x:v>3.14</x:v>
      </x:c>
      <x:c r="V51" s="1" t="n">
        <x:v>3.14</x:v>
      </x:c>
      <x:c r="W51" s="1" t="n">
        <x:f>T51</x:f>
        <x:v>31.4</x:v>
      </x:c>
    </x:row>
    <x:row r="52">
      <x:c r="A52" s="1" t="str">
        <x:v>RT-20260513-R004</x:v>
      </x:c>
      <x:c r="B52" s="1" t="str">
        <x:v>2026-05-13</x:v>
      </x:c>
      <x:c r="C52" s="1" t="str">
        <x:v>R004</x:v>
      </x:c>
      <x:c r="D52" s="1" t="str">
        <x:v>Daniela Cruz</x:v>
      </x:c>
      <x:c r="E52" s="1" t="str">
        <x:v>V004</x:v>
      </x:c>
      <x:c r="F52" s="1" t="str">
        <x:v>Pickup con carrocería</x:v>
      </x:c>
      <x:c r="G52" s="1" t="n">
        <x:v>3</x:v>
      </x:c>
      <x:c r="H52" s="5" t="n">
        <x:f>ROUND(2*T52+U52,2)</x:f>
        <x:v>95.42</x:v>
      </x:c>
      <x:c r="I52" s="5" t="n">
        <x:f>MIN(H52,ROUND(T52+V52+W52,2))</x:f>
        <x:v>95.42</x:v>
      </x:c>
      <x:c r="J52" s="5" t="n">
        <x:f>ROUND(H52-I52,2)</x:f>
        <x:v>0</x:v>
      </x:c>
      <x:c r="K52" s="5" t="n">
        <x:f>IF(H52=0,0,ROUND(100*J52/H52,2))</x:f>
        <x:v>0</x:v>
      </x:c>
      <x:c r="L52" s="5" t="n">
        <x:f>SUMIF(Pedidos!$L$2:$L$231,A52,Pedidos!$Q$2:$Q$231)</x:f>
        <x:v>346.47</x:v>
      </x:c>
      <x:c r="M52" s="5" t="n">
        <x:f>IF(J52=0,L52,MIN(L52,ROUND(I52/Vehiculos!$E$5*Vehiculos!$F$5,2)))</x:f>
        <x:v>346.47</x:v>
      </x:c>
      <x:c r="N52" s="5" t="n">
        <x:f>ROUND(L52-M52,2)</x:f>
        <x:v>0</x:v>
      </x:c>
      <x:c r="O52" s="5" t="n">
        <x:f>ROUND(H52/Vehiculos!$G$5*60+G52*8,0)</x:f>
        <x:v>141</x:v>
      </x:c>
      <x:c r="P52" s="5" t="n">
        <x:f>MIN(O52,ROUND(I52/Vehiculos!$G$5*60+G52*8,0))</x:f>
        <x:v>141</x:v>
      </x:c>
      <x:c r="Q52" s="5" t="n">
        <x:f>O52-P52</x:f>
        <x:v>0</x:v>
      </x:c>
      <x:c r="R52" s="1" t="str">
        <x:v>P0117 &gt; P0071 &gt; P0101</x:v>
      </x:c>
      <x:c r="S52" s="1" t="str">
        <x:v>La Masica</x:v>
      </x:c>
      <x:c r="T52" s="1" t="n">
        <x:f>Parametros_Operacion!$B$7</x:f>
        <x:v>41.2</x:v>
      </x:c>
      <x:c r="U52" s="1" t="n">
        <x:v>13.02</x:v>
      </x:c>
      <x:c r="V52" s="1" t="n">
        <x:v>13.02</x:v>
      </x:c>
      <x:c r="W52" s="1" t="n">
        <x:f>T52</x:f>
        <x:v>41.2</x:v>
      </x:c>
    </x:row>
    <x:row r="53">
      <x:c r="A53" s="1" t="str">
        <x:v>RT-20260513-R005</x:v>
      </x:c>
      <x:c r="B53" s="1" t="str">
        <x:v>2026-05-13</x:v>
      </x:c>
      <x:c r="C53" s="1" t="str">
        <x:v>R005</x:v>
      </x:c>
      <x:c r="D53" s="1" t="str">
        <x:v>José Martínez</x:v>
      </x:c>
      <x:c r="E53" s="1" t="str">
        <x:v>V005</x:v>
      </x:c>
      <x:c r="F53" s="1" t="str">
        <x:v>Camión pequeño</x:v>
      </x:c>
      <x:c r="G53" s="1" t="n">
        <x:v>1</x:v>
      </x:c>
      <x:c r="H53" s="5" t="n">
        <x:f>ROUND(2*T53+U53,2)</x:f>
        <x:v>75.5</x:v>
      </x:c>
      <x:c r="I53" s="5" t="n">
        <x:f>MIN(H53,ROUND(T53+V53+W53,2))</x:f>
        <x:v>75.5</x:v>
      </x:c>
      <x:c r="J53" s="5" t="n">
        <x:f>ROUND(H53-I53,2)</x:f>
        <x:v>0</x:v>
      </x:c>
      <x:c r="K53" s="5" t="n">
        <x:f>IF(H53=0,0,ROUND(100*J53/H53,2))</x:f>
        <x:v>0</x:v>
      </x:c>
      <x:c r="L53" s="5" t="n">
        <x:f>SUMIF(Pedidos!$L$2:$L$231,A53,Pedidos!$Q$2:$Q$231)</x:f>
        <x:v>359.81</x:v>
      </x:c>
      <x:c r="M53" s="5" t="n">
        <x:f>IF(J53=0,L53,MIN(L53,ROUND(I53/Vehiculos!$E$6*Vehiculos!$F$6,2)))</x:f>
        <x:v>359.81</x:v>
      </x:c>
      <x:c r="N53" s="5" t="n">
        <x:f>ROUND(L53-M53,2)</x:f>
        <x:v>0</x:v>
      </x:c>
      <x:c r="O53" s="5" t="n">
        <x:f>ROUND(H53/Vehiculos!$G$6*60+G53*8,0)</x:f>
        <x:v>113</x:v>
      </x:c>
      <x:c r="P53" s="5" t="n">
        <x:f>MIN(O53,ROUND(I53/Vehiculos!$G$6*60+G53*8,0))</x:f>
        <x:v>113</x:v>
      </x:c>
      <x:c r="Q53" s="5" t="n">
        <x:f>O53-P53</x:f>
        <x:v>0</x:v>
      </x:c>
      <x:c r="R53" s="1" t="str">
        <x:v>P0103</x:v>
      </x:c>
      <x:c r="S53" s="1" t="str">
        <x:v>San Francisco</x:v>
      </x:c>
      <x:c r="T53" s="1" t="n">
        <x:f>Parametros_Operacion!$B$8</x:f>
        <x:v>35</x:v>
      </x:c>
      <x:c r="U53" s="1" t="n">
        <x:v>5.5</x:v>
      </x:c>
      <x:c r="V53" s="1" t="n">
        <x:v>5.5</x:v>
      </x:c>
      <x:c r="W53" s="1" t="n">
        <x:f>T53</x:f>
        <x:v>35</x:v>
      </x:c>
    </x:row>
    <x:row r="54">
      <x:c r="A54" s="1" t="str">
        <x:v>RT-20260513-R007</x:v>
      </x:c>
      <x:c r="B54" s="1" t="str">
        <x:v>2026-05-13</x:v>
      </x:c>
      <x:c r="C54" s="1" t="str">
        <x:v>R007</x:v>
      </x:c>
      <x:c r="D54" s="1" t="str">
        <x:v>María Hernández</x:v>
      </x:c>
      <x:c r="E54" s="1" t="str">
        <x:v>V007</x:v>
      </x:c>
      <x:c r="F54" s="1" t="str">
        <x:v>Pickup con carrocería</x:v>
      </x:c>
      <x:c r="G54" s="1" t="n">
        <x:v>1</x:v>
      </x:c>
      <x:c r="H54" s="5" t="n">
        <x:f>ROUND(2*T54+U54,2)</x:f>
        <x:v>157.96</x:v>
      </x:c>
      <x:c r="I54" s="5" t="n">
        <x:f>MIN(H54,ROUND(T54+V54+W54,2))</x:f>
        <x:v>157.96</x:v>
      </x:c>
      <x:c r="J54" s="5" t="n">
        <x:f>ROUND(H54-I54,2)</x:f>
        <x:v>0</x:v>
      </x:c>
      <x:c r="K54" s="5" t="n">
        <x:f>IF(H54=0,0,ROUND(100*J54/H54,2))</x:f>
        <x:v>0</x:v>
      </x:c>
      <x:c r="L54" s="5" t="n">
        <x:f>SUMIF(Pedidos!$L$2:$L$231,A54,Pedidos!$Q$2:$Q$231)</x:f>
        <x:v>602.23</x:v>
      </x:c>
      <x:c r="M54" s="5" t="n">
        <x:f>IF(J54=0,L54,MIN(L54,ROUND(I54/Vehiculos!$E$8*Vehiculos!$F$8,2)))</x:f>
        <x:v>602.23</x:v>
      </x:c>
      <x:c r="N54" s="5" t="n">
        <x:f>ROUND(L54-M54,2)</x:f>
        <x:v>0</x:v>
      </x:c>
      <x:c r="O54" s="5" t="n">
        <x:f>ROUND(H54/Vehiculos!$G$8*60+G54*8,0)</x:f>
        <x:v>214</x:v>
      </x:c>
      <x:c r="P54" s="5" t="n">
        <x:f>MIN(O54,ROUND(I54/Vehiculos!$G$8*60+G54*8,0))</x:f>
        <x:v>214</x:v>
      </x:c>
      <x:c r="Q54" s="5" t="n">
        <x:f>O54-P54</x:f>
        <x:v>0</x:v>
      </x:c>
      <x:c r="R54" s="1" t="str">
        <x:v>P0135</x:v>
      </x:c>
      <x:c r="S54" s="1" t="str">
        <x:v>Esparta</x:v>
      </x:c>
      <x:c r="T54" s="1" t="n">
        <x:f>Parametros_Operacion!$B$4</x:f>
        <x:v>75.5</x:v>
      </x:c>
      <x:c r="U54" s="1" t="n">
        <x:v>6.96</x:v>
      </x:c>
      <x:c r="V54" s="1" t="n">
        <x:v>6.96</x:v>
      </x:c>
      <x:c r="W54" s="1" t="n">
        <x:f>T54</x:f>
        <x:v>75.5</x:v>
      </x:c>
    </x:row>
    <x:row r="55">
      <x:c r="A55" s="1" t="str">
        <x:v>RT-20260514-R001</x:v>
      </x:c>
      <x:c r="B55" s="1" t="str">
        <x:v>2026-05-14</x:v>
      </x:c>
      <x:c r="C55" s="1" t="str">
        <x:v>R001</x:v>
      </x:c>
      <x:c r="D55" s="1" t="str">
        <x:v>Carlos Mejía</x:v>
      </x:c>
      <x:c r="E55" s="1" t="str">
        <x:v>V001</x:v>
      </x:c>
      <x:c r="F55" s="1" t="str">
        <x:v>Pickup con carrocería</x:v>
      </x:c>
      <x:c r="G55" s="1" t="n">
        <x:v>3</x:v>
      </x:c>
      <x:c r="H55" s="5" t="n">
        <x:f>ROUND(2*T55+U55,2)</x:f>
        <x:v>8.26</x:v>
      </x:c>
      <x:c r="I55" s="5" t="n">
        <x:f>MIN(H55,ROUND(T55+V55+W55,2))</x:f>
        <x:v>8.26</x:v>
      </x:c>
      <x:c r="J55" s="5" t="n">
        <x:f>ROUND(H55-I55,2)</x:f>
        <x:v>0</x:v>
      </x:c>
      <x:c r="K55" s="5" t="n">
        <x:f>IF(H55=0,0,ROUND(100*J55/H55,2))</x:f>
        <x:v>0</x:v>
      </x:c>
      <x:c r="L55" s="5" t="n">
        <x:f>SUMIF(Pedidos!$L$2:$L$231,A55,Pedidos!$Q$2:$Q$231)</x:f>
        <x:v>28.630000000000003</x:v>
      </x:c>
      <x:c r="M55" s="5" t="n">
        <x:f>IF(J55=0,L55,MIN(L55,ROUND(I55/Vehiculos!$E$2*Vehiculos!$F$2,2)))</x:f>
        <x:v>28.630000000000003</x:v>
      </x:c>
      <x:c r="N55" s="5" t="n">
        <x:f>ROUND(L55-M55,2)</x:f>
        <x:v>0</x:v>
      </x:c>
      <x:c r="O55" s="5" t="n">
        <x:f>ROUND(H55/Vehiculos!$G$2*60+G55*8,0)</x:f>
        <x:v>34</x:v>
      </x:c>
      <x:c r="P55" s="5" t="n">
        <x:f>MIN(O55,ROUND(I55/Vehiculos!$G$2*60+G55*8,0))</x:f>
        <x:v>34</x:v>
      </x:c>
      <x:c r="Q55" s="5" t="n">
        <x:f>O55-P55</x:f>
        <x:v>0</x:v>
      </x:c>
      <x:c r="R55" s="1" t="str">
        <x:v>P0086 &gt; P0144 &gt; P0022</x:v>
      </x:c>
      <x:c r="S55" s="1" t="str">
        <x:v>La Ceiba</x:v>
      </x:c>
      <x:c r="T55" s="1" t="n">
        <x:f>Parametros_Operacion!$B$6</x:f>
        <x:v>0</x:v>
      </x:c>
      <x:c r="U55" s="1" t="n">
        <x:v>8.26</x:v>
      </x:c>
      <x:c r="V55" s="1" t="n">
        <x:v>8.26</x:v>
      </x:c>
      <x:c r="W55" s="1" t="n">
        <x:f>T55</x:f>
        <x:v>0</x:v>
      </x:c>
    </x:row>
    <x:row r="56">
      <x:c r="A56" s="1" t="str">
        <x:v>RT-20260514-R002</x:v>
      </x:c>
      <x:c r="B56" s="1" t="str">
        <x:v>2026-05-14</x:v>
      </x:c>
      <x:c r="C56" s="1" t="str">
        <x:v>R002</x:v>
      </x:c>
      <x:c r="D56" s="1" t="str">
        <x:v>Ana López</x:v>
      </x:c>
      <x:c r="E56" s="1" t="str">
        <x:v>V002</x:v>
      </x:c>
      <x:c r="F56" s="1" t="str">
        <x:v>Pickup con carrocería</x:v>
      </x:c>
      <x:c r="G56" s="1" t="n">
        <x:v>1</x:v>
      </x:c>
      <x:c r="H56" s="5" t="n">
        <x:f>ROUND(2*T56+U56,2)</x:f>
        <x:v>212.94</x:v>
      </x:c>
      <x:c r="I56" s="5" t="n">
        <x:f>MIN(H56,ROUND(T56+V56+W56,2))</x:f>
        <x:v>212.94</x:v>
      </x:c>
      <x:c r="J56" s="5" t="n">
        <x:f>ROUND(H56-I56,2)</x:f>
        <x:v>0</x:v>
      </x:c>
      <x:c r="K56" s="5" t="n">
        <x:f>IF(H56=0,0,ROUND(100*J56/H56,2))</x:f>
        <x:v>0</x:v>
      </x:c>
      <x:c r="L56" s="5" t="n">
        <x:f>SUMIF(Pedidos!$L$2:$L$231,A56,Pedidos!$Q$2:$Q$231)</x:f>
        <x:v>773.18</x:v>
      </x:c>
      <x:c r="M56" s="5" t="n">
        <x:f>IF(J56=0,L56,MIN(L56,ROUND(I56/Vehiculos!$E$3*Vehiculos!$F$3,2)))</x:f>
        <x:v>773.18</x:v>
      </x:c>
      <x:c r="N56" s="5" t="n">
        <x:f>ROUND(L56-M56,2)</x:f>
        <x:v>0</x:v>
      </x:c>
      <x:c r="O56" s="5" t="n">
        <x:f>ROUND(H56/Vehiculos!$G$3*60+G56*8,0)</x:f>
        <x:v>274</x:v>
      </x:c>
      <x:c r="P56" s="5" t="n">
        <x:f>MIN(O56,ROUND(I56/Vehiculos!$G$3*60+G56*8,0))</x:f>
        <x:v>274</x:v>
      </x:c>
      <x:c r="Q56" s="5" t="n">
        <x:f>O56-P56</x:f>
        <x:v>0</x:v>
      </x:c>
      <x:c r="R56" s="1" t="str">
        <x:v>P0092</x:v>
      </x:c>
      <x:c r="S56" s="1" t="str">
        <x:v>Tela</x:v>
      </x:c>
      <x:c r="T56" s="1" t="n">
        <x:f>Parametros_Operacion!$B$9</x:f>
        <x:v>102.3</x:v>
      </x:c>
      <x:c r="U56" s="1" t="n">
        <x:v>8.34</x:v>
      </x:c>
      <x:c r="V56" s="1" t="n">
        <x:v>8.34</x:v>
      </x:c>
      <x:c r="W56" s="1" t="n">
        <x:f>T56</x:f>
        <x:v>102.3</x:v>
      </x:c>
    </x:row>
    <x:row r="57">
      <x:c r="A57" s="1" t="str">
        <x:v>RT-20260514-R003</x:v>
      </x:c>
      <x:c r="B57" s="1" t="str">
        <x:v>2026-05-14</x:v>
      </x:c>
      <x:c r="C57" s="1" t="str">
        <x:v>R003</x:v>
      </x:c>
      <x:c r="D57" s="1" t="str">
        <x:v>Luis Ramírez</x:v>
      </x:c>
      <x:c r="E57" s="1" t="str">
        <x:v>V003</x:v>
      </x:c>
      <x:c r="F57" s="1" t="str">
        <x:v>Pickup con carrocería</x:v>
      </x:c>
      <x:c r="G57" s="1" t="n">
        <x:v>1</x:v>
      </x:c>
      <x:c r="H57" s="5" t="n">
        <x:f>ROUND(2*T57+U57,2)</x:f>
        <x:v>68.04</x:v>
      </x:c>
      <x:c r="I57" s="5" t="n">
        <x:f>MIN(H57,ROUND(T57+V57+W57,2))</x:f>
        <x:v>68.04</x:v>
      </x:c>
      <x:c r="J57" s="5" t="n">
        <x:f>ROUND(H57-I57,2)</x:f>
        <x:v>0</x:v>
      </x:c>
      <x:c r="K57" s="5" t="n">
        <x:f>IF(H57=0,0,ROUND(100*J57/H57,2))</x:f>
        <x:v>0</x:v>
      </x:c>
      <x:c r="L57" s="5" t="n">
        <x:f>SUMIF(Pedidos!$L$2:$L$231,A57,Pedidos!$Q$2:$Q$231)</x:f>
        <x:v>259.4</x:v>
      </x:c>
      <x:c r="M57" s="5" t="n">
        <x:f>IF(J57=0,L57,MIN(L57,ROUND(I57/Vehiculos!$E$4*Vehiculos!$F$4,2)))</x:f>
        <x:v>259.4</x:v>
      </x:c>
      <x:c r="N57" s="5" t="n">
        <x:f>ROUND(L57-M57,2)</x:f>
        <x:v>0</x:v>
      </x:c>
      <x:c r="O57" s="5" t="n">
        <x:f>ROUND(H57/Vehiculos!$G$4*60+G57*8,0)</x:f>
        <x:v>95</x:v>
      </x:c>
      <x:c r="P57" s="5" t="n">
        <x:f>MIN(O57,ROUND(I57/Vehiculos!$G$4*60+G57*8,0))</x:f>
        <x:v>95</x:v>
      </x:c>
      <x:c r="Q57" s="5" t="n">
        <x:f>O57-P57</x:f>
        <x:v>0</x:v>
      </x:c>
      <x:c r="R57" s="1" t="str">
        <x:v>P0133</x:v>
      </x:c>
      <x:c r="S57" s="1" t="str">
        <x:v>Jutiapa</x:v>
      </x:c>
      <x:c r="T57" s="1" t="n">
        <x:f>Parametros_Operacion!$B$5</x:f>
        <x:v>31.4</x:v>
      </x:c>
      <x:c r="U57" s="1" t="n">
        <x:v>5.24</x:v>
      </x:c>
      <x:c r="V57" s="1" t="n">
        <x:v>5.24</x:v>
      </x:c>
      <x:c r="W57" s="1" t="n">
        <x:f>T57</x:f>
        <x:v>31.4</x:v>
      </x:c>
    </x:row>
    <x:row r="58">
      <x:c r="A58" s="1" t="str">
        <x:v>RT-20260514-R004</x:v>
      </x:c>
      <x:c r="B58" s="1" t="str">
        <x:v>2026-05-14</x:v>
      </x:c>
      <x:c r="C58" s="1" t="str">
        <x:v>R004</x:v>
      </x:c>
      <x:c r="D58" s="1" t="str">
        <x:v>Daniela Cruz</x:v>
      </x:c>
      <x:c r="E58" s="1" t="str">
        <x:v>V004</x:v>
      </x:c>
      <x:c r="F58" s="1" t="str">
        <x:v>Pickup con carrocería</x:v>
      </x:c>
      <x:c r="G58" s="1" t="n">
        <x:v>1</x:v>
      </x:c>
      <x:c r="H58" s="5" t="n">
        <x:f>ROUND(2*T58+U58,2)</x:f>
        <x:v>89</x:v>
      </x:c>
      <x:c r="I58" s="5" t="n">
        <x:f>MIN(H58,ROUND(T58+V58+W58,2))</x:f>
        <x:v>89</x:v>
      </x:c>
      <x:c r="J58" s="5" t="n">
        <x:f>ROUND(H58-I58,2)</x:f>
        <x:v>0</x:v>
      </x:c>
      <x:c r="K58" s="5" t="n">
        <x:f>IF(H58=0,0,ROUND(100*J58/H58,2))</x:f>
        <x:v>0</x:v>
      </x:c>
      <x:c r="L58" s="5" t="n">
        <x:f>SUMIF(Pedidos!$L$2:$L$231,A58,Pedidos!$Q$2:$Q$231)</x:f>
        <x:v>323.16</x:v>
      </x:c>
      <x:c r="M58" s="5" t="n">
        <x:f>IF(J58=0,L58,MIN(L58,ROUND(I58/Vehiculos!$E$5*Vehiculos!$F$5,2)))</x:f>
        <x:v>323.16</x:v>
      </x:c>
      <x:c r="N58" s="5" t="n">
        <x:f>ROUND(L58-M58,2)</x:f>
        <x:v>0</x:v>
      </x:c>
      <x:c r="O58" s="5" t="n">
        <x:f>ROUND(H58/Vehiculos!$G$5*60+G58*8,0)</x:f>
        <x:v>117</x:v>
      </x:c>
      <x:c r="P58" s="5" t="n">
        <x:f>MIN(O58,ROUND(I58/Vehiculos!$G$5*60+G58*8,0))</x:f>
        <x:v>117</x:v>
      </x:c>
      <x:c r="Q58" s="5" t="n">
        <x:f>O58-P58</x:f>
        <x:v>0</x:v>
      </x:c>
      <x:c r="R58" s="1" t="str">
        <x:v>P0115</x:v>
      </x:c>
      <x:c r="S58" s="1" t="str">
        <x:v>La Masica</x:v>
      </x:c>
      <x:c r="T58" s="1" t="n">
        <x:f>Parametros_Operacion!$B$7</x:f>
        <x:v>41.2</x:v>
      </x:c>
      <x:c r="U58" s="1" t="n">
        <x:v>6.6</x:v>
      </x:c>
      <x:c r="V58" s="1" t="n">
        <x:v>6.6</x:v>
      </x:c>
      <x:c r="W58" s="1" t="n">
        <x:f>T58</x:f>
        <x:v>41.2</x:v>
      </x:c>
    </x:row>
    <x:row r="59">
      <x:c r="A59" s="1" t="str">
        <x:v>RT-20260514-R005</x:v>
      </x:c>
      <x:c r="B59" s="1" t="str">
        <x:v>2026-05-14</x:v>
      </x:c>
      <x:c r="C59" s="1" t="str">
        <x:v>R005</x:v>
      </x:c>
      <x:c r="D59" s="1" t="str">
        <x:v>José Martínez</x:v>
      </x:c>
      <x:c r="E59" s="1" t="str">
        <x:v>V005</x:v>
      </x:c>
      <x:c r="F59" s="1" t="str">
        <x:v>Camión pequeño</x:v>
      </x:c>
      <x:c r="G59" s="1" t="n">
        <x:v>1</x:v>
      </x:c>
      <x:c r="H59" s="5" t="n">
        <x:f>ROUND(2*T59+U59,2)</x:f>
        <x:v>75.68</x:v>
      </x:c>
      <x:c r="I59" s="5" t="n">
        <x:f>MIN(H59,ROUND(T59+V59+W59,2))</x:f>
        <x:v>75.68</x:v>
      </x:c>
      <x:c r="J59" s="5" t="n">
        <x:f>ROUND(H59-I59,2)</x:f>
        <x:v>0</x:v>
      </x:c>
      <x:c r="K59" s="5" t="n">
        <x:f>IF(H59=0,0,ROUND(100*J59/H59,2))</x:f>
        <x:v>0</x:v>
      </x:c>
      <x:c r="L59" s="5" t="n">
        <x:f>SUMIF(Pedidos!$L$2:$L$231,A59,Pedidos!$Q$2:$Q$231)</x:f>
        <x:v>360.67</x:v>
      </x:c>
      <x:c r="M59" s="5" t="n">
        <x:f>IF(J59=0,L59,MIN(L59,ROUND(I59/Vehiculos!$E$6*Vehiculos!$F$6,2)))</x:f>
        <x:v>360.67</x:v>
      </x:c>
      <x:c r="N59" s="5" t="n">
        <x:f>ROUND(L59-M59,2)</x:f>
        <x:v>0</x:v>
      </x:c>
      <x:c r="O59" s="5" t="n">
        <x:f>ROUND(H59/Vehiculos!$G$6*60+G59*8,0)</x:f>
        <x:v>114</x:v>
      </x:c>
      <x:c r="P59" s="5" t="n">
        <x:f>MIN(O59,ROUND(I59/Vehiculos!$G$6*60+G59*8,0))</x:f>
        <x:v>114</x:v>
      </x:c>
      <x:c r="Q59" s="5" t="n">
        <x:f>O59-P59</x:f>
        <x:v>0</x:v>
      </x:c>
      <x:c r="R59" s="1" t="str">
        <x:v>P0078</x:v>
      </x:c>
      <x:c r="S59" s="1" t="str">
        <x:v>San Francisco</x:v>
      </x:c>
      <x:c r="T59" s="1" t="n">
        <x:f>Parametros_Operacion!$B$8</x:f>
        <x:v>35</x:v>
      </x:c>
      <x:c r="U59" s="1" t="n">
        <x:v>5.68</x:v>
      </x:c>
      <x:c r="V59" s="1" t="n">
        <x:v>5.68</x:v>
      </x:c>
      <x:c r="W59" s="1" t="n">
        <x:f>T59</x:f>
        <x:v>35</x:v>
      </x:c>
    </x:row>
    <x:row r="60">
      <x:c r="A60" s="1" t="str">
        <x:v>RT-20260514-R006</x:v>
      </x:c>
      <x:c r="B60" s="1" t="str">
        <x:v>2026-05-14</x:v>
      </x:c>
      <x:c r="C60" s="1" t="str">
        <x:v>R006</x:v>
      </x:c>
      <x:c r="D60" s="1" t="str">
        <x:v>Kevin Flores</x:v>
      </x:c>
      <x:c r="E60" s="1" t="str">
        <x:v>V006</x:v>
      </x:c>
      <x:c r="F60" s="1" t="str">
        <x:v>Pickup con carrocería</x:v>
      </x:c>
      <x:c r="G60" s="1" t="n">
        <x:v>1</x:v>
      </x:c>
      <x:c r="H60" s="5" t="n">
        <x:f>ROUND(2*T60+U60,2)</x:f>
        <x:v>152.16</x:v>
      </x:c>
      <x:c r="I60" s="5" t="n">
        <x:f>MIN(H60,ROUND(T60+V60+W60,2))</x:f>
        <x:v>152.16</x:v>
      </x:c>
      <x:c r="J60" s="5" t="n">
        <x:f>ROUND(H60-I60,2)</x:f>
        <x:v>0</x:v>
      </x:c>
      <x:c r="K60" s="5" t="n">
        <x:f>IF(H60=0,0,ROUND(100*J60/H60,2))</x:f>
        <x:v>0</x:v>
      </x:c>
      <x:c r="L60" s="5" t="n">
        <x:f>SUMIF(Pedidos!$L$2:$L$231,A60,Pedidos!$Q$2:$Q$231)</x:f>
        <x:v>580.11</x:v>
      </x:c>
      <x:c r="M60" s="5" t="n">
        <x:f>IF(J60=0,L60,MIN(L60,ROUND(I60/Vehiculos!$E$7*Vehiculos!$F$7,2)))</x:f>
        <x:v>580.11</x:v>
      </x:c>
      <x:c r="N60" s="5" t="n">
        <x:f>ROUND(L60-M60,2)</x:f>
        <x:v>0</x:v>
      </x:c>
      <x:c r="O60" s="5" t="n">
        <x:f>ROUND(H60/Vehiculos!$G$7*60+G60*8,0)</x:f>
        <x:v>202</x:v>
      </x:c>
      <x:c r="P60" s="5" t="n">
        <x:f>MIN(O60,ROUND(I60/Vehiculos!$G$7*60+G60*8,0))</x:f>
        <x:v>202</x:v>
      </x:c>
      <x:c r="Q60" s="5" t="n">
        <x:f>O60-P60</x:f>
        <x:v>0</x:v>
      </x:c>
      <x:c r="R60" s="1" t="str">
        <x:v>P0065</x:v>
      </x:c>
      <x:c r="S60" s="1" t="str">
        <x:v>Arizona</x:v>
      </x:c>
      <x:c r="T60" s="1" t="n">
        <x:f>Parametros_Operacion!$B$2</x:f>
        <x:v>72.5</x:v>
      </x:c>
      <x:c r="U60" s="1" t="n">
        <x:v>7.16</x:v>
      </x:c>
      <x:c r="V60" s="1" t="n">
        <x:v>7.16</x:v>
      </x:c>
      <x:c r="W60" s="1" t="n">
        <x:f>T60</x:f>
        <x:v>72.5</x:v>
      </x:c>
    </x:row>
    <x:row r="61">
      <x:c r="A61" s="1" t="str">
        <x:v>RT-20260514-R008</x:v>
      </x:c>
      <x:c r="B61" s="1" t="str">
        <x:v>2026-05-14</x:v>
      </x:c>
      <x:c r="C61" s="1" t="str">
        <x:v>R008</x:v>
      </x:c>
      <x:c r="D61" s="1" t="str">
        <x:v>Jorge Castro</x:v>
      </x:c>
      <x:c r="E61" s="1" t="str">
        <x:v>V008</x:v>
      </x:c>
      <x:c r="F61" s="1" t="str">
        <x:v>Camión pequeño</x:v>
      </x:c>
      <x:c r="G61" s="1" t="n">
        <x:v>2</x:v>
      </x:c>
      <x:c r="H61" s="5" t="n">
        <x:f>ROUND(2*T61+U61,2)</x:f>
        <x:v>38.32</x:v>
      </x:c>
      <x:c r="I61" s="5" t="n">
        <x:f>MIN(H61,ROUND(T61+V61+W61,2))</x:f>
        <x:v>38.32</x:v>
      </x:c>
      <x:c r="J61" s="5" t="n">
        <x:f>ROUND(H61-I61,2)</x:f>
        <x:v>0</x:v>
      </x:c>
      <x:c r="K61" s="5" t="n">
        <x:f>IF(H61=0,0,ROUND(100*J61/H61,2))</x:f>
        <x:v>0</x:v>
      </x:c>
      <x:c r="L61" s="5" t="n">
        <x:f>SUMIF(Pedidos!$L$2:$L$231,A61,Pedidos!$Q$2:$Q$231)</x:f>
        <x:v>194.8</x:v>
      </x:c>
      <x:c r="M61" s="5" t="n">
        <x:f>IF(J61=0,L61,MIN(L61,ROUND(I61/Vehiculos!$E$9*Vehiculos!$F$9,2)))</x:f>
        <x:v>194.8</x:v>
      </x:c>
      <x:c r="N61" s="5" t="n">
        <x:f>ROUND(L61-M61,2)</x:f>
        <x:v>0</x:v>
      </x:c>
      <x:c r="O61" s="5" t="n">
        <x:f>ROUND(H61/Vehiculos!$G$9*60+G61*8,0)</x:f>
        <x:v>71</x:v>
      </x:c>
      <x:c r="P61" s="5" t="n">
        <x:f>MIN(O61,ROUND(I61/Vehiculos!$G$9*60+G61*8,0))</x:f>
        <x:v>71</x:v>
      </x:c>
      <x:c r="Q61" s="5" t="n">
        <x:f>O61-P61</x:f>
        <x:v>0</x:v>
      </x:c>
      <x:c r="R61" s="1" t="str">
        <x:v>P0146 &gt; P0116</x:v>
      </x:c>
      <x:c r="S61" s="1" t="str">
        <x:v>El Porvenir</x:v>
      </x:c>
      <x:c r="T61" s="1" t="n">
        <x:f>Parametros_Operacion!$B$3</x:f>
        <x:v>16.5</x:v>
      </x:c>
      <x:c r="U61" s="1" t="n">
        <x:v>5.32</x:v>
      </x:c>
      <x:c r="V61" s="1" t="n">
        <x:v>5.32</x:v>
      </x:c>
      <x:c r="W61" s="1" t="n">
        <x:f>T61</x:f>
        <x:v>16.5</x:v>
      </x:c>
    </x:row>
    <x:row r="62">
      <x:c r="A62" s="1" t="str">
        <x:v>RT-20260515-R001</x:v>
      </x:c>
      <x:c r="B62" s="1" t="str">
        <x:v>2026-05-15</x:v>
      </x:c>
      <x:c r="C62" s="1" t="str">
        <x:v>R001</x:v>
      </x:c>
      <x:c r="D62" s="1" t="str">
        <x:v>Carlos Mejía</x:v>
      </x:c>
      <x:c r="E62" s="1" t="str">
        <x:v>V001</x:v>
      </x:c>
      <x:c r="F62" s="1" t="str">
        <x:v>Pickup con carrocería</x:v>
      </x:c>
      <x:c r="G62" s="1" t="n">
        <x:v>2</x:v>
      </x:c>
      <x:c r="H62" s="5" t="n">
        <x:f>ROUND(2*T62+U62,2)</x:f>
        <x:v>11.71</x:v>
      </x:c>
      <x:c r="I62" s="5" t="n">
        <x:f>MIN(H62,ROUND(T62+V62+W62,2))</x:f>
        <x:v>11.71</x:v>
      </x:c>
      <x:c r="J62" s="5" t="n">
        <x:f>ROUND(H62-I62,2)</x:f>
        <x:v>0</x:v>
      </x:c>
      <x:c r="K62" s="5" t="n">
        <x:f>IF(H62=0,0,ROUND(100*J62/H62,2))</x:f>
        <x:v>0</x:v>
      </x:c>
      <x:c r="L62" s="5" t="n">
        <x:f>SUMIF(Pedidos!$L$2:$L$231,A62,Pedidos!$Q$2:$Q$231)</x:f>
        <x:v>40.58</x:v>
      </x:c>
      <x:c r="M62" s="5" t="n">
        <x:f>IF(J62=0,L62,MIN(L62,ROUND(I62/Vehiculos!$E$2*Vehiculos!$F$2,2)))</x:f>
        <x:v>40.58</x:v>
      </x:c>
      <x:c r="N62" s="5" t="n">
        <x:f>ROUND(L62-M62,2)</x:f>
        <x:v>0</x:v>
      </x:c>
      <x:c r="O62" s="5" t="n">
        <x:f>ROUND(H62/Vehiculos!$G$2*60+G62*8,0)</x:f>
        <x:v>30</x:v>
      </x:c>
      <x:c r="P62" s="5" t="n">
        <x:f>MIN(O62,ROUND(I62/Vehiculos!$G$2*60+G62*8,0))</x:f>
        <x:v>30</x:v>
      </x:c>
      <x:c r="Q62" s="5" t="n">
        <x:f>O62-P62</x:f>
        <x:v>0</x:v>
      </x:c>
      <x:c r="R62" s="1" t="str">
        <x:v>P0097 &gt; P0125</x:v>
      </x:c>
      <x:c r="S62" s="1" t="str">
        <x:v>La Ceiba</x:v>
      </x:c>
      <x:c r="T62" s="1" t="n">
        <x:f>Parametros_Operacion!$B$6</x:f>
        <x:v>0</x:v>
      </x:c>
      <x:c r="U62" s="1" t="n">
        <x:v>11.71</x:v>
      </x:c>
      <x:c r="V62" s="1" t="n">
        <x:v>11.71</x:v>
      </x:c>
      <x:c r="W62" s="1" t="n">
        <x:f>T62</x:f>
        <x:v>0</x:v>
      </x:c>
    </x:row>
    <x:row r="63">
      <x:c r="A63" s="1" t="str">
        <x:v>RT-20260515-R002</x:v>
      </x:c>
      <x:c r="B63" s="1" t="str">
        <x:v>2026-05-15</x:v>
      </x:c>
      <x:c r="C63" s="1" t="str">
        <x:v>R002</x:v>
      </x:c>
      <x:c r="D63" s="1" t="str">
        <x:v>Ana López</x:v>
      </x:c>
      <x:c r="E63" s="1" t="str">
        <x:v>V002</x:v>
      </x:c>
      <x:c r="F63" s="1" t="str">
        <x:v>Pickup con carrocería</x:v>
      </x:c>
      <x:c r="G63" s="1" t="n">
        <x:v>1</x:v>
      </x:c>
      <x:c r="H63" s="5" t="n">
        <x:f>ROUND(2*T63+U63,2)</x:f>
        <x:v>208.62</x:v>
      </x:c>
      <x:c r="I63" s="5" t="n">
        <x:f>MIN(H63,ROUND(T63+V63+W63,2))</x:f>
        <x:v>208.62</x:v>
      </x:c>
      <x:c r="J63" s="5" t="n">
        <x:f>ROUND(H63-I63,2)</x:f>
        <x:v>0</x:v>
      </x:c>
      <x:c r="K63" s="5" t="n">
        <x:f>IF(H63=0,0,ROUND(100*J63/H63,2))</x:f>
        <x:v>0</x:v>
      </x:c>
      <x:c r="L63" s="5" t="n">
        <x:f>SUMIF(Pedidos!$L$2:$L$231,A63,Pedidos!$Q$2:$Q$231)</x:f>
        <x:v>757.5</x:v>
      </x:c>
      <x:c r="M63" s="5" t="n">
        <x:f>IF(J63=0,L63,MIN(L63,ROUND(I63/Vehiculos!$E$3*Vehiculos!$F$3,2)))</x:f>
        <x:v>757.5</x:v>
      </x:c>
      <x:c r="N63" s="5" t="n">
        <x:f>ROUND(L63-M63,2)</x:f>
        <x:v>0</x:v>
      </x:c>
      <x:c r="O63" s="5" t="n">
        <x:f>ROUND(H63/Vehiculos!$G$3*60+G63*8,0)</x:f>
        <x:v>269</x:v>
      </x:c>
      <x:c r="P63" s="5" t="n">
        <x:f>MIN(O63,ROUND(I63/Vehiculos!$G$3*60+G63*8,0))</x:f>
        <x:v>269</x:v>
      </x:c>
      <x:c r="Q63" s="5" t="n">
        <x:f>O63-P63</x:f>
        <x:v>0</x:v>
      </x:c>
      <x:c r="R63" s="1" t="str">
        <x:v>P0126</x:v>
      </x:c>
      <x:c r="S63" s="1" t="str">
        <x:v>Tela</x:v>
      </x:c>
      <x:c r="T63" s="1" t="n">
        <x:f>Parametros_Operacion!$B$9</x:f>
        <x:v>102.3</x:v>
      </x:c>
      <x:c r="U63" s="1" t="n">
        <x:v>4.02</x:v>
      </x:c>
      <x:c r="V63" s="1" t="n">
        <x:v>4.02</x:v>
      </x:c>
      <x:c r="W63" s="1" t="n">
        <x:f>T63</x:f>
        <x:v>102.3</x:v>
      </x:c>
    </x:row>
    <x:row r="64">
      <x:c r="A64" s="1" t="str">
        <x:v>RT-20260515-R004</x:v>
      </x:c>
      <x:c r="B64" s="1" t="str">
        <x:v>2026-05-15</x:v>
      </x:c>
      <x:c r="C64" s="1" t="str">
        <x:v>R004</x:v>
      </x:c>
      <x:c r="D64" s="1" t="str">
        <x:v>Daniela Cruz</x:v>
      </x:c>
      <x:c r="E64" s="1" t="str">
        <x:v>V004</x:v>
      </x:c>
      <x:c r="F64" s="1" t="str">
        <x:v>Pickup con carrocería</x:v>
      </x:c>
      <x:c r="G64" s="1" t="n">
        <x:v>2</x:v>
      </x:c>
      <x:c r="H64" s="5" t="n">
        <x:f>ROUND(2*T64+U64,2)</x:f>
        <x:v>86.41</x:v>
      </x:c>
      <x:c r="I64" s="5" t="n">
        <x:f>MIN(H64,ROUND(T64+V64+W64,2))</x:f>
        <x:v>86.41</x:v>
      </x:c>
      <x:c r="J64" s="5" t="n">
        <x:f>ROUND(H64-I64,2)</x:f>
        <x:v>0</x:v>
      </x:c>
      <x:c r="K64" s="5" t="n">
        <x:f>IF(H64=0,0,ROUND(100*J64/H64,2))</x:f>
        <x:v>0</x:v>
      </x:c>
      <x:c r="L64" s="5" t="n">
        <x:f>SUMIF(Pedidos!$L$2:$L$231,A64,Pedidos!$Q$2:$Q$231)</x:f>
        <x:v>313.76</x:v>
      </x:c>
      <x:c r="M64" s="5" t="n">
        <x:f>IF(J64=0,L64,MIN(L64,ROUND(I64/Vehiculos!$E$5*Vehiculos!$F$5,2)))</x:f>
        <x:v>313.76</x:v>
      </x:c>
      <x:c r="N64" s="5" t="n">
        <x:f>ROUND(L64-M64,2)</x:f>
        <x:v>0</x:v>
      </x:c>
      <x:c r="O64" s="5" t="n">
        <x:f>ROUND(H64/Vehiculos!$G$5*60+G64*8,0)</x:f>
        <x:v>122</x:v>
      </x:c>
      <x:c r="P64" s="5" t="n">
        <x:f>MIN(O64,ROUND(I64/Vehiculos!$G$5*60+G64*8,0))</x:f>
        <x:v>122</x:v>
      </x:c>
      <x:c r="Q64" s="5" t="n">
        <x:f>O64-P64</x:f>
        <x:v>0</x:v>
      </x:c>
      <x:c r="R64" s="1" t="str">
        <x:v>P0037 &gt; P0025</x:v>
      </x:c>
      <x:c r="S64" s="1" t="str">
        <x:v>La Masica</x:v>
      </x:c>
      <x:c r="T64" s="1" t="n">
        <x:f>Parametros_Operacion!$B$7</x:f>
        <x:v>41.2</x:v>
      </x:c>
      <x:c r="U64" s="1" t="n">
        <x:v>4.01</x:v>
      </x:c>
      <x:c r="V64" s="1" t="n">
        <x:v>4.01</x:v>
      </x:c>
      <x:c r="W64" s="1" t="n">
        <x:f>T64</x:f>
        <x:v>41.2</x:v>
      </x:c>
    </x:row>
    <x:row r="65">
      <x:c r="A65" s="1" t="str">
        <x:v>RT-20260516-R001</x:v>
      </x:c>
      <x:c r="B65" s="1" t="str">
        <x:v>2026-05-16</x:v>
      </x:c>
      <x:c r="C65" s="1" t="str">
        <x:v>R001</x:v>
      </x:c>
      <x:c r="D65" s="1" t="str">
        <x:v>Carlos Mejía</x:v>
      </x:c>
      <x:c r="E65" s="1" t="str">
        <x:v>V001</x:v>
      </x:c>
      <x:c r="F65" s="1" t="str">
        <x:v>Pickup con carrocería</x:v>
      </x:c>
      <x:c r="G65" s="1" t="n">
        <x:v>1</x:v>
      </x:c>
      <x:c r="H65" s="5" t="n">
        <x:f>ROUND(2*T65+U65,2)</x:f>
        <x:v>5.2</x:v>
      </x:c>
      <x:c r="I65" s="5" t="n">
        <x:f>MIN(H65,ROUND(T65+V65+W65,2))</x:f>
        <x:v>5.2</x:v>
      </x:c>
      <x:c r="J65" s="5" t="n">
        <x:f>ROUND(H65-I65,2)</x:f>
        <x:v>0</x:v>
      </x:c>
      <x:c r="K65" s="5" t="n">
        <x:f>IF(H65=0,0,ROUND(100*J65/H65,2))</x:f>
        <x:v>0</x:v>
      </x:c>
      <x:c r="L65" s="5" t="n">
        <x:f>SUMIF(Pedidos!$L$2:$L$231,A65,Pedidos!$Q$2:$Q$231)</x:f>
        <x:v>18.02</x:v>
      </x:c>
      <x:c r="M65" s="5" t="n">
        <x:f>IF(J65=0,L65,MIN(L65,ROUND(I65/Vehiculos!$E$2*Vehiculos!$F$2,2)))</x:f>
        <x:v>18.02</x:v>
      </x:c>
      <x:c r="N65" s="5" t="n">
        <x:f>ROUND(L65-M65,2)</x:f>
        <x:v>0</x:v>
      </x:c>
      <x:c r="O65" s="5" t="n">
        <x:f>ROUND(H65/Vehiculos!$G$2*60+G65*8,0)</x:f>
        <x:v>14</x:v>
      </x:c>
      <x:c r="P65" s="5" t="n">
        <x:f>MIN(O65,ROUND(I65/Vehiculos!$G$2*60+G65*8,0))</x:f>
        <x:v>14</x:v>
      </x:c>
      <x:c r="Q65" s="5" t="n">
        <x:f>O65-P65</x:f>
        <x:v>0</x:v>
      </x:c>
      <x:c r="R65" s="1" t="str">
        <x:v>P0111</x:v>
      </x:c>
      <x:c r="S65" s="1" t="str">
        <x:v>La Ceiba</x:v>
      </x:c>
      <x:c r="T65" s="1" t="n">
        <x:f>Parametros_Operacion!$B$6</x:f>
        <x:v>0</x:v>
      </x:c>
      <x:c r="U65" s="1" t="n">
        <x:v>5.2</x:v>
      </x:c>
      <x:c r="V65" s="1" t="n">
        <x:v>5.2</x:v>
      </x:c>
      <x:c r="W65" s="1" t="n">
        <x:f>T65</x:f>
        <x:v>0</x:v>
      </x:c>
    </x:row>
    <x:row r="66">
      <x:c r="A66" s="1" t="str">
        <x:v>RT-20260516-R004</x:v>
      </x:c>
      <x:c r="B66" s="1" t="str">
        <x:v>2026-05-16</x:v>
      </x:c>
      <x:c r="C66" s="1" t="str">
        <x:v>R004</x:v>
      </x:c>
      <x:c r="D66" s="1" t="str">
        <x:v>Daniela Cruz</x:v>
      </x:c>
      <x:c r="E66" s="1" t="str">
        <x:v>V004</x:v>
      </x:c>
      <x:c r="F66" s="1" t="str">
        <x:v>Pickup con carrocería</x:v>
      </x:c>
      <x:c r="G66" s="1" t="n">
        <x:v>3</x:v>
      </x:c>
      <x:c r="H66" s="5" t="n">
        <x:f>ROUND(2*T66+U66,2)</x:f>
        <x:v>99.98</x:v>
      </x:c>
      <x:c r="I66" s="5" t="n">
        <x:f>MIN(H66,ROUND(T66+V66+W66,2))</x:f>
        <x:v>94.98</x:v>
      </x:c>
      <x:c r="J66" s="5" t="n">
        <x:f>ROUND(H66-I66,2)</x:f>
        <x:v>5</x:v>
      </x:c>
      <x:c r="K66" s="5" t="n">
        <x:f>IF(H66=0,0,ROUND(100*J66/H66,2))</x:f>
        <x:v>5</x:v>
      </x:c>
      <x:c r="L66" s="5" t="n">
        <x:f>SUMIF(Pedidos!$L$2:$L$231,A66,Pedidos!$Q$2:$Q$231)</x:f>
        <x:v>363.02</x:v>
      </x:c>
      <x:c r="M66" s="5" t="n">
        <x:f>IF(J66=0,L66,MIN(L66,ROUND(I66/Vehiculos!$E$5*Vehiculos!$F$5,2)))</x:f>
        <x:v>344.87</x:v>
      </x:c>
      <x:c r="N66" s="5" t="n">
        <x:f>ROUND(L66-M66,2)</x:f>
        <x:v>18.15</x:v>
      </x:c>
      <x:c r="O66" s="5" t="n">
        <x:f>ROUND(H66/Vehiculos!$G$5*60+G66*8,0)</x:f>
        <x:v>146</x:v>
      </x:c>
      <x:c r="P66" s="5" t="n">
        <x:f>MIN(O66,ROUND(I66/Vehiculos!$G$5*60+G66*8,0))</x:f>
        <x:v>140</x:v>
      </x:c>
      <x:c r="Q66" s="5" t="n">
        <x:f>O66-P66</x:f>
        <x:v>6</x:v>
      </x:c>
      <x:c r="R66" s="1" t="str">
        <x:v>P0137 &gt; P0107 &gt; P0154</x:v>
      </x:c>
      <x:c r="S66" s="1" t="str">
        <x:v>La Masica</x:v>
      </x:c>
      <x:c r="T66" s="1" t="n">
        <x:f>Parametros_Operacion!$B$7</x:f>
        <x:v>41.2</x:v>
      </x:c>
      <x:c r="U66" s="1" t="n">
        <x:v>17.58</x:v>
      </x:c>
      <x:c r="V66" s="1" t="n">
        <x:v>12.58</x:v>
      </x:c>
      <x:c r="W66" s="1" t="n">
        <x:f>T66</x:f>
        <x:v>41.2</x:v>
      </x:c>
    </x:row>
    <x:row r="67">
      <x:c r="A67" s="1" t="str">
        <x:v>RT-20260516-R005</x:v>
      </x:c>
      <x:c r="B67" s="1" t="str">
        <x:v>2026-05-16</x:v>
      </x:c>
      <x:c r="C67" s="1" t="str">
        <x:v>R005</x:v>
      </x:c>
      <x:c r="D67" s="1" t="str">
        <x:v>José Martínez</x:v>
      </x:c>
      <x:c r="E67" s="1" t="str">
        <x:v>V005</x:v>
      </x:c>
      <x:c r="F67" s="1" t="str">
        <x:v>Camión pequeño</x:v>
      </x:c>
      <x:c r="G67" s="1" t="n">
        <x:v>1</x:v>
      </x:c>
      <x:c r="H67" s="5" t="n">
        <x:f>ROUND(2*T67+U67,2)</x:f>
        <x:v>75.5</x:v>
      </x:c>
      <x:c r="I67" s="5" t="n">
        <x:f>MIN(H67,ROUND(T67+V67+W67,2))</x:f>
        <x:v>75.5</x:v>
      </x:c>
      <x:c r="J67" s="5" t="n">
        <x:f>ROUND(H67-I67,2)</x:f>
        <x:v>0</x:v>
      </x:c>
      <x:c r="K67" s="5" t="n">
        <x:f>IF(H67=0,0,ROUND(100*J67/H67,2))</x:f>
        <x:v>0</x:v>
      </x:c>
      <x:c r="L67" s="5" t="n">
        <x:f>SUMIF(Pedidos!$L$2:$L$231,A67,Pedidos!$Q$2:$Q$231)</x:f>
        <x:v>359.81</x:v>
      </x:c>
      <x:c r="M67" s="5" t="n">
        <x:f>IF(J67=0,L67,MIN(L67,ROUND(I67/Vehiculos!$E$6*Vehiculos!$F$6,2)))</x:f>
        <x:v>359.81</x:v>
      </x:c>
      <x:c r="N67" s="5" t="n">
        <x:f>ROUND(L67-M67,2)</x:f>
        <x:v>0</x:v>
      </x:c>
      <x:c r="O67" s="5" t="n">
        <x:f>ROUND(H67/Vehiculos!$G$6*60+G67*8,0)</x:f>
        <x:v>113</x:v>
      </x:c>
      <x:c r="P67" s="5" t="n">
        <x:f>MIN(O67,ROUND(I67/Vehiculos!$G$6*60+G67*8,0))</x:f>
        <x:v>113</x:v>
      </x:c>
      <x:c r="Q67" s="5" t="n">
        <x:f>O67-P67</x:f>
        <x:v>0</x:v>
      </x:c>
      <x:c r="R67" s="1" t="str">
        <x:v>P0152</x:v>
      </x:c>
      <x:c r="S67" s="1" t="str">
        <x:v>San Francisco</x:v>
      </x:c>
      <x:c r="T67" s="1" t="n">
        <x:f>Parametros_Operacion!$B$8</x:f>
        <x:v>35</x:v>
      </x:c>
      <x:c r="U67" s="1" t="n">
        <x:v>5.5</x:v>
      </x:c>
      <x:c r="V67" s="1" t="n">
        <x:v>5.5</x:v>
      </x:c>
      <x:c r="W67" s="1" t="n">
        <x:f>T67</x:f>
        <x:v>35</x:v>
      </x:c>
    </x:row>
    <x:row r="68">
      <x:c r="A68" s="1" t="str">
        <x:v>RT-20260516-R007</x:v>
      </x:c>
      <x:c r="B68" s="1" t="str">
        <x:v>2026-05-16</x:v>
      </x:c>
      <x:c r="C68" s="1" t="str">
        <x:v>R007</x:v>
      </x:c>
      <x:c r="D68" s="1" t="str">
        <x:v>María Hernández</x:v>
      </x:c>
      <x:c r="E68" s="1" t="str">
        <x:v>V007</x:v>
      </x:c>
      <x:c r="F68" s="1" t="str">
        <x:v>Pickup con carrocería</x:v>
      </x:c>
      <x:c r="G68" s="1" t="n">
        <x:v>1</x:v>
      </x:c>
      <x:c r="H68" s="5" t="n">
        <x:f>ROUND(2*T68+U68,2)</x:f>
        <x:v>158.24</x:v>
      </x:c>
      <x:c r="I68" s="5" t="n">
        <x:f>MIN(H68,ROUND(T68+V68+W68,2))</x:f>
        <x:v>158.24</x:v>
      </x:c>
      <x:c r="J68" s="5" t="n">
        <x:f>ROUND(H68-I68,2)</x:f>
        <x:v>0</x:v>
      </x:c>
      <x:c r="K68" s="5" t="n">
        <x:f>IF(H68=0,0,ROUND(100*J68/H68,2))</x:f>
        <x:v>0</x:v>
      </x:c>
      <x:c r="L68" s="5" t="n">
        <x:f>SUMIF(Pedidos!$L$2:$L$231,A68,Pedidos!$Q$2:$Q$231)</x:f>
        <x:v>603.29</x:v>
      </x:c>
      <x:c r="M68" s="5" t="n">
        <x:f>IF(J68=0,L68,MIN(L68,ROUND(I68/Vehiculos!$E$8*Vehiculos!$F$8,2)))</x:f>
        <x:v>603.29</x:v>
      </x:c>
      <x:c r="N68" s="5" t="n">
        <x:f>ROUND(L68-M68,2)</x:f>
        <x:v>0</x:v>
      </x:c>
      <x:c r="O68" s="5" t="n">
        <x:f>ROUND(H68/Vehiculos!$G$8*60+G68*8,0)</x:f>
        <x:v>214</x:v>
      </x:c>
      <x:c r="P68" s="5" t="n">
        <x:f>MIN(O68,ROUND(I68/Vehiculos!$G$8*60+G68*8,0))</x:f>
        <x:v>214</x:v>
      </x:c>
      <x:c r="Q68" s="5" t="n">
        <x:f>O68-P68</x:f>
        <x:v>0</x:v>
      </x:c>
      <x:c r="R68" s="1" t="str">
        <x:v>P0150</x:v>
      </x:c>
      <x:c r="S68" s="1" t="str">
        <x:v>Esparta</x:v>
      </x:c>
      <x:c r="T68" s="1" t="n">
        <x:f>Parametros_Operacion!$B$4</x:f>
        <x:v>75.5</x:v>
      </x:c>
      <x:c r="U68" s="1" t="n">
        <x:v>7.24</x:v>
      </x:c>
      <x:c r="V68" s="1" t="n">
        <x:v>7.24</x:v>
      </x:c>
      <x:c r="W68" s="1" t="n">
        <x:f>T68</x:f>
        <x:v>75.5</x:v>
      </x:c>
    </x:row>
    <x:row r="69">
      <x:c r="A69" s="1" t="str">
        <x:v>RT-20260517-R001</x:v>
      </x:c>
      <x:c r="B69" s="1" t="str">
        <x:v>2026-05-17</x:v>
      </x:c>
      <x:c r="C69" s="1" t="str">
        <x:v>R001</x:v>
      </x:c>
      <x:c r="D69" s="1" t="str">
        <x:v>Carlos Mejía</x:v>
      </x:c>
      <x:c r="E69" s="1" t="str">
        <x:v>V001</x:v>
      </x:c>
      <x:c r="F69" s="1" t="str">
        <x:v>Pickup con carrocería</x:v>
      </x:c>
      <x:c r="G69" s="1" t="n">
        <x:v>2</x:v>
      </x:c>
      <x:c r="H69" s="5" t="n">
        <x:f>ROUND(2*T69+U69,2)</x:f>
        <x:v>10.11</x:v>
      </x:c>
      <x:c r="I69" s="5" t="n">
        <x:f>MIN(H69,ROUND(T69+V69+W69,2))</x:f>
        <x:v>10.11</x:v>
      </x:c>
      <x:c r="J69" s="5" t="n">
        <x:f>ROUND(H69-I69,2)</x:f>
        <x:v>0</x:v>
      </x:c>
      <x:c r="K69" s="5" t="n">
        <x:f>IF(H69=0,0,ROUND(100*J69/H69,2))</x:f>
        <x:v>0</x:v>
      </x:c>
      <x:c r="L69" s="5" t="n">
        <x:f>SUMIF(Pedidos!$L$2:$L$231,A69,Pedidos!$Q$2:$Q$231)</x:f>
        <x:v>35.04</x:v>
      </x:c>
      <x:c r="M69" s="5" t="n">
        <x:f>IF(J69=0,L69,MIN(L69,ROUND(I69/Vehiculos!$E$2*Vehiculos!$F$2,2)))</x:f>
        <x:v>35.04</x:v>
      </x:c>
      <x:c r="N69" s="5" t="n">
        <x:f>ROUND(L69-M69,2)</x:f>
        <x:v>0</x:v>
      </x:c>
      <x:c r="O69" s="5" t="n">
        <x:f>ROUND(H69/Vehiculos!$G$2*60+G69*8,0)</x:f>
        <x:v>28</x:v>
      </x:c>
      <x:c r="P69" s="5" t="n">
        <x:f>MIN(O69,ROUND(I69/Vehiculos!$G$2*60+G69*8,0))</x:f>
        <x:v>28</x:v>
      </x:c>
      <x:c r="Q69" s="5" t="n">
        <x:f>O69-P69</x:f>
        <x:v>0</x:v>
      </x:c>
      <x:c r="R69" s="1" t="str">
        <x:v>P0087 &gt; P0145</x:v>
      </x:c>
      <x:c r="S69" s="1" t="str">
        <x:v>La Ceiba</x:v>
      </x:c>
      <x:c r="T69" s="1" t="n">
        <x:f>Parametros_Operacion!$B$6</x:f>
        <x:v>0</x:v>
      </x:c>
      <x:c r="U69" s="1" t="n">
        <x:v>10.11</x:v>
      </x:c>
      <x:c r="V69" s="1" t="n">
        <x:v>10.11</x:v>
      </x:c>
      <x:c r="W69" s="1" t="n">
        <x:f>T69</x:f>
        <x:v>0</x:v>
      </x:c>
    </x:row>
    <x:row r="70">
      <x:c r="A70" s="1" t="str">
        <x:v>RT-20260517-R004</x:v>
      </x:c>
      <x:c r="B70" s="1" t="str">
        <x:v>2026-05-17</x:v>
      </x:c>
      <x:c r="C70" s="1" t="str">
        <x:v>R004</x:v>
      </x:c>
      <x:c r="D70" s="1" t="str">
        <x:v>Daniela Cruz</x:v>
      </x:c>
      <x:c r="E70" s="1" t="str">
        <x:v>V004</x:v>
      </x:c>
      <x:c r="F70" s="1" t="str">
        <x:v>Pickup con carrocería</x:v>
      </x:c>
      <x:c r="G70" s="1" t="n">
        <x:v>2</x:v>
      </x:c>
      <x:c r="H70" s="5" t="n">
        <x:f>ROUND(2*T70+U70,2)</x:f>
        <x:v>92.45</x:v>
      </x:c>
      <x:c r="I70" s="5" t="n">
        <x:f>MIN(H70,ROUND(T70+V70+W70,2))</x:f>
        <x:v>92.45</x:v>
      </x:c>
      <x:c r="J70" s="5" t="n">
        <x:f>ROUND(H70-I70,2)</x:f>
        <x:v>0</x:v>
      </x:c>
      <x:c r="K70" s="5" t="n">
        <x:f>IF(H70=0,0,ROUND(100*J70/H70,2))</x:f>
        <x:v>0</x:v>
      </x:c>
      <x:c r="L70" s="5" t="n">
        <x:f>SUMIF(Pedidos!$L$2:$L$231,A70,Pedidos!$Q$2:$Q$231)</x:f>
        <x:v>335.69</x:v>
      </x:c>
      <x:c r="M70" s="5" t="n">
        <x:f>IF(J70=0,L70,MIN(L70,ROUND(I70/Vehiculos!$E$5*Vehiculos!$F$5,2)))</x:f>
        <x:v>335.69</x:v>
      </x:c>
      <x:c r="N70" s="5" t="n">
        <x:f>ROUND(L70-M70,2)</x:f>
        <x:v>0</x:v>
      </x:c>
      <x:c r="O70" s="5" t="n">
        <x:f>ROUND(H70/Vehiculos!$G$5*60+G70*8,0)</x:f>
        <x:v>129</x:v>
      </x:c>
      <x:c r="P70" s="5" t="n">
        <x:f>MIN(O70,ROUND(I70/Vehiculos!$G$5*60+G70*8,0))</x:f>
        <x:v>129</x:v>
      </x:c>
      <x:c r="Q70" s="5" t="n">
        <x:f>O70-P70</x:f>
        <x:v>0</x:v>
      </x:c>
      <x:c r="R70" s="1" t="str">
        <x:v>P0132 &gt; P0159</x:v>
      </x:c>
      <x:c r="S70" s="1" t="str">
        <x:v>La Masica</x:v>
      </x:c>
      <x:c r="T70" s="1" t="n">
        <x:f>Parametros_Operacion!$B$7</x:f>
        <x:v>41.2</x:v>
      </x:c>
      <x:c r="U70" s="1" t="n">
        <x:v>10.05</x:v>
      </x:c>
      <x:c r="V70" s="1" t="n">
        <x:v>10.05</x:v>
      </x:c>
      <x:c r="W70" s="1" t="n">
        <x:f>T70</x:f>
        <x:v>41.2</x:v>
      </x:c>
    </x:row>
    <x:row r="71">
      <x:c r="A71" s="1" t="str">
        <x:v>RT-20260517-R005</x:v>
      </x:c>
      <x:c r="B71" s="1" t="str">
        <x:v>2026-05-17</x:v>
      </x:c>
      <x:c r="C71" s="1" t="str">
        <x:v>R005</x:v>
      </x:c>
      <x:c r="D71" s="1" t="str">
        <x:v>José Martínez</x:v>
      </x:c>
      <x:c r="E71" s="1" t="str">
        <x:v>V005</x:v>
      </x:c>
      <x:c r="F71" s="1" t="str">
        <x:v>Camión pequeño</x:v>
      </x:c>
      <x:c r="G71" s="1" t="n">
        <x:v>1</x:v>
      </x:c>
      <x:c r="H71" s="5" t="n">
        <x:f>ROUND(2*T71+U71,2)</x:f>
        <x:v>72.58</x:v>
      </x:c>
      <x:c r="I71" s="5" t="n">
        <x:f>MIN(H71,ROUND(T71+V71+W71,2))</x:f>
        <x:v>72.58</x:v>
      </x:c>
      <x:c r="J71" s="5" t="n">
        <x:f>ROUND(H71-I71,2)</x:f>
        <x:v>0</x:v>
      </x:c>
      <x:c r="K71" s="5" t="n">
        <x:f>IF(H71=0,0,ROUND(100*J71/H71,2))</x:f>
        <x:v>0</x:v>
      </x:c>
      <x:c r="L71" s="5" t="n">
        <x:f>SUMIF(Pedidos!$L$2:$L$231,A71,Pedidos!$Q$2:$Q$231)</x:f>
        <x:v>345.89</x:v>
      </x:c>
      <x:c r="M71" s="5" t="n">
        <x:f>IF(J71=0,L71,MIN(L71,ROUND(I71/Vehiculos!$E$6*Vehiculos!$F$6,2)))</x:f>
        <x:v>345.89</x:v>
      </x:c>
      <x:c r="N71" s="5" t="n">
        <x:f>ROUND(L71-M71,2)</x:f>
        <x:v>0</x:v>
      </x:c>
      <x:c r="O71" s="5" t="n">
        <x:f>ROUND(H71/Vehiculos!$G$6*60+G71*8,0)</x:f>
        <x:v>109</x:v>
      </x:c>
      <x:c r="P71" s="5" t="n">
        <x:f>MIN(O71,ROUND(I71/Vehiculos!$G$6*60+G71*8,0))</x:f>
        <x:v>109</x:v>
      </x:c>
      <x:c r="Q71" s="5" t="n">
        <x:f>O71-P71</x:f>
        <x:v>0</x:v>
      </x:c>
      <x:c r="R71" s="1" t="str">
        <x:v>P0024</x:v>
      </x:c>
      <x:c r="S71" s="1" t="str">
        <x:v>San Francisco</x:v>
      </x:c>
      <x:c r="T71" s="1" t="n">
        <x:f>Parametros_Operacion!$B$8</x:f>
        <x:v>35</x:v>
      </x:c>
      <x:c r="U71" s="1" t="n">
        <x:v>2.58</x:v>
      </x:c>
      <x:c r="V71" s="1" t="n">
        <x:v>2.58</x:v>
      </x:c>
      <x:c r="W71" s="1" t="n">
        <x:f>T71</x:f>
        <x:v>35</x:v>
      </x:c>
    </x:row>
    <x:row r="72">
      <x:c r="A72" s="1" t="str">
        <x:v>RT-20260517-R006</x:v>
      </x:c>
      <x:c r="B72" s="1" t="str">
        <x:v>2026-05-17</x:v>
      </x:c>
      <x:c r="C72" s="1" t="str">
        <x:v>R006</x:v>
      </x:c>
      <x:c r="D72" s="1" t="str">
        <x:v>Kevin Flores</x:v>
      </x:c>
      <x:c r="E72" s="1" t="str">
        <x:v>V006</x:v>
      </x:c>
      <x:c r="F72" s="1" t="str">
        <x:v>Pickup con carrocería</x:v>
      </x:c>
      <x:c r="G72" s="1" t="n">
        <x:v>2</x:v>
      </x:c>
      <x:c r="H72" s="5" t="n">
        <x:f>ROUND(2*T72+U72,2)</x:f>
        <x:v>166</x:v>
      </x:c>
      <x:c r="I72" s="5" t="n">
        <x:f>MIN(H72,ROUND(T72+V72+W72,2))</x:f>
        <x:v>166</x:v>
      </x:c>
      <x:c r="J72" s="5" t="n">
        <x:f>ROUND(H72-I72,2)</x:f>
        <x:v>0</x:v>
      </x:c>
      <x:c r="K72" s="5" t="n">
        <x:f>IF(H72=0,0,ROUND(100*J72/H72,2))</x:f>
        <x:v>0</x:v>
      </x:c>
      <x:c r="L72" s="5" t="n">
        <x:f>SUMIF(Pedidos!$L$2:$L$231,A72,Pedidos!$Q$2:$Q$231)</x:f>
        <x:v>632.88</x:v>
      </x:c>
      <x:c r="M72" s="5" t="n">
        <x:f>IF(J72=0,L72,MIN(L72,ROUND(I72/Vehiculos!$E$7*Vehiculos!$F$7,2)))</x:f>
        <x:v>632.88</x:v>
      </x:c>
      <x:c r="N72" s="5" t="n">
        <x:f>ROUND(L72-M72,2)</x:f>
        <x:v>0</x:v>
      </x:c>
      <x:c r="O72" s="5" t="n">
        <x:f>ROUND(H72/Vehiculos!$G$7*60+G72*8,0)</x:f>
        <x:v>228</x:v>
      </x:c>
      <x:c r="P72" s="5" t="n">
        <x:f>MIN(O72,ROUND(I72/Vehiculos!$G$7*60+G72*8,0))</x:f>
        <x:v>228</x:v>
      </x:c>
      <x:c r="Q72" s="5" t="n">
        <x:f>O72-P72</x:f>
        <x:v>0</x:v>
      </x:c>
      <x:c r="R72" s="1" t="str">
        <x:v>P0089 &gt; P0098</x:v>
      </x:c>
      <x:c r="S72" s="1" t="str">
        <x:v>Arizona</x:v>
      </x:c>
      <x:c r="T72" s="1" t="n">
        <x:f>Parametros_Operacion!$B$2</x:f>
        <x:v>72.5</x:v>
      </x:c>
      <x:c r="U72" s="1" t="n">
        <x:v>21</x:v>
      </x:c>
      <x:c r="V72" s="1" t="n">
        <x:v>21</x:v>
      </x:c>
      <x:c r="W72" s="1" t="n">
        <x:f>T72</x:f>
        <x:v>72.5</x:v>
      </x:c>
    </x:row>
    <x:row r="73">
      <x:c r="A73" s="1" t="str">
        <x:v>RT-20260517-R007</x:v>
      </x:c>
      <x:c r="B73" s="1" t="str">
        <x:v>2026-05-17</x:v>
      </x:c>
      <x:c r="C73" s="1" t="str">
        <x:v>R007</x:v>
      </x:c>
      <x:c r="D73" s="1" t="str">
        <x:v>María Hernández</x:v>
      </x:c>
      <x:c r="E73" s="1" t="str">
        <x:v>V007</x:v>
      </x:c>
      <x:c r="F73" s="1" t="str">
        <x:v>Pickup con carrocería</x:v>
      </x:c>
      <x:c r="G73" s="1" t="n">
        <x:v>3</x:v>
      </x:c>
      <x:c r="H73" s="5" t="n">
        <x:f>ROUND(2*T73+U73,2)</x:f>
        <x:v>160.96</x:v>
      </x:c>
      <x:c r="I73" s="5" t="n">
        <x:f>MIN(H73,ROUND(T73+V73+W73,2))</x:f>
        <x:v>160.95</x:v>
      </x:c>
      <x:c r="J73" s="5" t="n">
        <x:f>ROUND(H73-I73,2)</x:f>
        <x:v>0.01</x:v>
      </x:c>
      <x:c r="K73" s="5" t="n">
        <x:f>IF(H73=0,0,ROUND(100*J73/H73,2))</x:f>
        <x:v>0.01</x:v>
      </x:c>
      <x:c r="L73" s="5" t="n">
        <x:f>SUMIF(Pedidos!$L$2:$L$231,A73,Pedidos!$Q$2:$Q$231)</x:f>
        <x:v>613.6600000000001</x:v>
      </x:c>
      <x:c r="M73" s="5" t="n">
        <x:f>IF(J73=0,L73,MIN(L73,ROUND(I73/Vehiculos!$E$8*Vehiculos!$F$8,2)))</x:f>
        <x:v>613.63</x:v>
      </x:c>
      <x:c r="N73" s="5" t="n">
        <x:f>ROUND(L73-M73,2)</x:f>
        <x:v>0.03</x:v>
      </x:c>
      <x:c r="O73" s="5" t="n">
        <x:f>ROUND(H73/Vehiculos!$G$8*60+G73*8,0)</x:f>
        <x:v>234</x:v>
      </x:c>
      <x:c r="P73" s="5" t="n">
        <x:f>MIN(O73,ROUND(I73/Vehiculos!$G$8*60+G73*8,0))</x:f>
        <x:v>234</x:v>
      </x:c>
      <x:c r="Q73" s="5" t="n">
        <x:f>O73-P73</x:f>
        <x:v>0</x:v>
      </x:c>
      <x:c r="R73" s="1" t="str">
        <x:v>P0114 &gt; P0134 &gt; P0161</x:v>
      </x:c>
      <x:c r="S73" s="1" t="str">
        <x:v>Esparta</x:v>
      </x:c>
      <x:c r="T73" s="1" t="n">
        <x:f>Parametros_Operacion!$B$4</x:f>
        <x:v>75.5</x:v>
      </x:c>
      <x:c r="U73" s="1" t="n">
        <x:v>9.96</x:v>
      </x:c>
      <x:c r="V73" s="1" t="n">
        <x:v>9.95</x:v>
      </x:c>
      <x:c r="W73" s="1" t="n">
        <x:f>T73</x:f>
        <x:v>75.5</x:v>
      </x:c>
    </x:row>
    <x:row r="74">
      <x:c r="A74" s="1" t="str">
        <x:v>RT-20260518-R002</x:v>
      </x:c>
      <x:c r="B74" s="1" t="str">
        <x:v>2026-05-18</x:v>
      </x:c>
      <x:c r="C74" s="1" t="str">
        <x:v>R002</x:v>
      </x:c>
      <x:c r="D74" s="1" t="str">
        <x:v>Ana López</x:v>
      </x:c>
      <x:c r="E74" s="1" t="str">
        <x:v>V002</x:v>
      </x:c>
      <x:c r="F74" s="1" t="str">
        <x:v>Pickup con carrocería</x:v>
      </x:c>
      <x:c r="G74" s="1" t="n">
        <x:v>2</x:v>
      </x:c>
      <x:c r="H74" s="5" t="n">
        <x:f>ROUND(2*T74+U74,2)</x:f>
        <x:v>218.11</x:v>
      </x:c>
      <x:c r="I74" s="5" t="n">
        <x:f>MIN(H74,ROUND(T74+V74+W74,2))</x:f>
        <x:v>218.11</x:v>
      </x:c>
      <x:c r="J74" s="5" t="n">
        <x:f>ROUND(H74-I74,2)</x:f>
        <x:v>0</x:v>
      </x:c>
      <x:c r="K74" s="5" t="n">
        <x:f>IF(H74=0,0,ROUND(100*J74/H74,2))</x:f>
        <x:v>0</x:v>
      </x:c>
      <x:c r="L74" s="5" t="n">
        <x:f>SUMIF(Pedidos!$L$2:$L$231,A74,Pedidos!$Q$2:$Q$231)</x:f>
        <x:v>791.96</x:v>
      </x:c>
      <x:c r="M74" s="5" t="n">
        <x:f>IF(J74=0,L74,MIN(L74,ROUND(I74/Vehiculos!$E$3*Vehiculos!$F$3,2)))</x:f>
        <x:v>791.96</x:v>
      </x:c>
      <x:c r="N74" s="5" t="n">
        <x:f>ROUND(L74-M74,2)</x:f>
        <x:v>0</x:v>
      </x:c>
      <x:c r="O74" s="5" t="n">
        <x:f>ROUND(H74/Vehiculos!$G$3*60+G74*8,0)</x:f>
        <x:v>289</x:v>
      </x:c>
      <x:c r="P74" s="5" t="n">
        <x:f>MIN(O74,ROUND(I74/Vehiculos!$G$3*60+G74*8,0))</x:f>
        <x:v>289</x:v>
      </x:c>
      <x:c r="Q74" s="5" t="n">
        <x:f>O74-P74</x:f>
        <x:v>0</x:v>
      </x:c>
      <x:c r="R74" s="1" t="str">
        <x:v>P0163 &gt; P0023</x:v>
      </x:c>
      <x:c r="S74" s="1" t="str">
        <x:v>Tela</x:v>
      </x:c>
      <x:c r="T74" s="1" t="n">
        <x:f>Parametros_Operacion!$B$9</x:f>
        <x:v>102.3</x:v>
      </x:c>
      <x:c r="U74" s="1" t="n">
        <x:v>13.51</x:v>
      </x:c>
      <x:c r="V74" s="1" t="n">
        <x:v>13.51</x:v>
      </x:c>
      <x:c r="W74" s="1" t="n">
        <x:f>T74</x:f>
        <x:v>102.3</x:v>
      </x:c>
    </x:row>
    <x:row r="75">
      <x:c r="A75" s="1" t="str">
        <x:v>RT-20260518-R003</x:v>
      </x:c>
      <x:c r="B75" s="1" t="str">
        <x:v>2026-05-18</x:v>
      </x:c>
      <x:c r="C75" s="1" t="str">
        <x:v>R003</x:v>
      </x:c>
      <x:c r="D75" s="1" t="str">
        <x:v>Luis Ramírez</x:v>
      </x:c>
      <x:c r="E75" s="1" t="str">
        <x:v>V003</x:v>
      </x:c>
      <x:c r="F75" s="1" t="str">
        <x:v>Pickup con carrocería</x:v>
      </x:c>
      <x:c r="G75" s="1" t="n">
        <x:v>1</x:v>
      </x:c>
      <x:c r="H75" s="5" t="n">
        <x:f>ROUND(2*T75+U75,2)</x:f>
        <x:v>68.04</x:v>
      </x:c>
      <x:c r="I75" s="5" t="n">
        <x:f>MIN(H75,ROUND(T75+V75+W75,2))</x:f>
        <x:v>68.04</x:v>
      </x:c>
      <x:c r="J75" s="5" t="n">
        <x:f>ROUND(H75-I75,2)</x:f>
        <x:v>0</x:v>
      </x:c>
      <x:c r="K75" s="5" t="n">
        <x:f>IF(H75=0,0,ROUND(100*J75/H75,2))</x:f>
        <x:v>0</x:v>
      </x:c>
      <x:c r="L75" s="5" t="n">
        <x:f>SUMIF(Pedidos!$L$2:$L$231,A75,Pedidos!$Q$2:$Q$231)</x:f>
        <x:v>259.4</x:v>
      </x:c>
      <x:c r="M75" s="5" t="n">
        <x:f>IF(J75=0,L75,MIN(L75,ROUND(I75/Vehiculos!$E$4*Vehiculos!$F$4,2)))</x:f>
        <x:v>259.4</x:v>
      </x:c>
      <x:c r="N75" s="5" t="n">
        <x:f>ROUND(L75-M75,2)</x:f>
        <x:v>0</x:v>
      </x:c>
      <x:c r="O75" s="5" t="n">
        <x:f>ROUND(H75/Vehiculos!$G$4*60+G75*8,0)</x:f>
        <x:v>95</x:v>
      </x:c>
      <x:c r="P75" s="5" t="n">
        <x:f>MIN(O75,ROUND(I75/Vehiculos!$G$4*60+G75*8,0))</x:f>
        <x:v>95</x:v>
      </x:c>
      <x:c r="Q75" s="5" t="n">
        <x:f>O75-P75</x:f>
        <x:v>0</x:v>
      </x:c>
      <x:c r="R75" s="1" t="str">
        <x:v>P0091</x:v>
      </x:c>
      <x:c r="S75" s="1" t="str">
        <x:v>Jutiapa</x:v>
      </x:c>
      <x:c r="T75" s="1" t="n">
        <x:f>Parametros_Operacion!$B$5</x:f>
        <x:v>31.4</x:v>
      </x:c>
      <x:c r="U75" s="1" t="n">
        <x:v>5.24</x:v>
      </x:c>
      <x:c r="V75" s="1" t="n">
        <x:v>5.24</x:v>
      </x:c>
      <x:c r="W75" s="1" t="n">
        <x:f>T75</x:f>
        <x:v>31.4</x:v>
      </x:c>
    </x:row>
    <x:row r="76">
      <x:c r="A76" s="1" t="str">
        <x:v>RT-20260518-R004</x:v>
      </x:c>
      <x:c r="B76" s="1" t="str">
        <x:v>2026-05-18</x:v>
      </x:c>
      <x:c r="C76" s="1" t="str">
        <x:v>R004</x:v>
      </x:c>
      <x:c r="D76" s="1" t="str">
        <x:v>Daniela Cruz</x:v>
      </x:c>
      <x:c r="E76" s="1" t="str">
        <x:v>V004</x:v>
      </x:c>
      <x:c r="F76" s="1" t="str">
        <x:v>Pickup con carrocería</x:v>
      </x:c>
      <x:c r="G76" s="1" t="n">
        <x:v>1</x:v>
      </x:c>
      <x:c r="H76" s="5" t="n">
        <x:f>ROUND(2*T76+U76,2)</x:f>
        <x:v>92.1</x:v>
      </x:c>
      <x:c r="I76" s="5" t="n">
        <x:f>MIN(H76,ROUND(T76+V76+W76,2))</x:f>
        <x:v>92.1</x:v>
      </x:c>
      <x:c r="J76" s="5" t="n">
        <x:f>ROUND(H76-I76,2)</x:f>
        <x:v>0</x:v>
      </x:c>
      <x:c r="K76" s="5" t="n">
        <x:f>IF(H76=0,0,ROUND(100*J76/H76,2))</x:f>
        <x:v>0</x:v>
      </x:c>
      <x:c r="L76" s="5" t="n">
        <x:f>SUMIF(Pedidos!$L$2:$L$231,A76,Pedidos!$Q$2:$Q$231)</x:f>
        <x:v>334.41</x:v>
      </x:c>
      <x:c r="M76" s="5" t="n">
        <x:f>IF(J76=0,L76,MIN(L76,ROUND(I76/Vehiculos!$E$5*Vehiculos!$F$5,2)))</x:f>
        <x:v>334.41</x:v>
      </x:c>
      <x:c r="N76" s="5" t="n">
        <x:f>ROUND(L76-M76,2)</x:f>
        <x:v>0</x:v>
      </x:c>
      <x:c r="O76" s="5" t="n">
        <x:f>ROUND(H76/Vehiculos!$G$5*60+G76*8,0)</x:f>
        <x:v>121</x:v>
      </x:c>
      <x:c r="P76" s="5" t="n">
        <x:f>MIN(O76,ROUND(I76/Vehiculos!$G$5*60+G76*8,0))</x:f>
        <x:v>121</x:v>
      </x:c>
      <x:c r="Q76" s="5" t="n">
        <x:f>O76-P76</x:f>
        <x:v>0</x:v>
      </x:c>
      <x:c r="R76" s="1" t="str">
        <x:v>P0128</x:v>
      </x:c>
      <x:c r="S76" s="1" t="str">
        <x:v>La Masica</x:v>
      </x:c>
      <x:c r="T76" s="1" t="n">
        <x:f>Parametros_Operacion!$B$7</x:f>
        <x:v>41.2</x:v>
      </x:c>
      <x:c r="U76" s="1" t="n">
        <x:v>9.7</x:v>
      </x:c>
      <x:c r="V76" s="1" t="n">
        <x:v>9.7</x:v>
      </x:c>
      <x:c r="W76" s="1" t="n">
        <x:f>T76</x:f>
        <x:v>41.2</x:v>
      </x:c>
    </x:row>
    <x:row r="77">
      <x:c r="A77" s="1" t="str">
        <x:v>RT-20260518-R007</x:v>
      </x:c>
      <x:c r="B77" s="1" t="str">
        <x:v>2026-05-18</x:v>
      </x:c>
      <x:c r="C77" s="1" t="str">
        <x:v>R007</x:v>
      </x:c>
      <x:c r="D77" s="1" t="str">
        <x:v>María Hernández</x:v>
      </x:c>
      <x:c r="E77" s="1" t="str">
        <x:v>V007</x:v>
      </x:c>
      <x:c r="F77" s="1" t="str">
        <x:v>Pickup con carrocería</x:v>
      </x:c>
      <x:c r="G77" s="1" t="n">
        <x:v>2</x:v>
      </x:c>
      <x:c r="H77" s="5" t="n">
        <x:f>ROUND(2*T77+U77,2)</x:f>
        <x:v>158.81</x:v>
      </x:c>
      <x:c r="I77" s="5" t="n">
        <x:f>MIN(H77,ROUND(T77+V77+W77,2))</x:f>
        <x:v>158.81</x:v>
      </x:c>
      <x:c r="J77" s="5" t="n">
        <x:f>ROUND(H77-I77,2)</x:f>
        <x:v>0</x:v>
      </x:c>
      <x:c r="K77" s="5" t="n">
        <x:f>IF(H77=0,0,ROUND(100*J77/H77,2))</x:f>
        <x:v>0</x:v>
      </x:c>
      <x:c r="L77" s="5" t="n">
        <x:f>SUMIF(Pedidos!$L$2:$L$231,A77,Pedidos!$Q$2:$Q$231)</x:f>
        <x:v>605.47</x:v>
      </x:c>
      <x:c r="M77" s="5" t="n">
        <x:f>IF(J77=0,L77,MIN(L77,ROUND(I77/Vehiculos!$E$8*Vehiculos!$F$8,2)))</x:f>
        <x:v>605.47</x:v>
      </x:c>
      <x:c r="N77" s="5" t="n">
        <x:f>ROUND(L77-M77,2)</x:f>
        <x:v>0</x:v>
      </x:c>
      <x:c r="O77" s="5" t="n">
        <x:f>ROUND(H77/Vehiculos!$G$8*60+G77*8,0)</x:f>
        <x:v>223</x:v>
      </x:c>
      <x:c r="P77" s="5" t="n">
        <x:f>MIN(O77,ROUND(I77/Vehiculos!$G$8*60+G77*8,0))</x:f>
        <x:v>223</x:v>
      </x:c>
      <x:c r="Q77" s="5" t="n">
        <x:f>O77-P77</x:f>
        <x:v>0</x:v>
      </x:c>
      <x:c r="R77" s="1" t="str">
        <x:v>P0034 &gt; P0131</x:v>
      </x:c>
      <x:c r="S77" s="1" t="str">
        <x:v>Esparta</x:v>
      </x:c>
      <x:c r="T77" s="1" t="n">
        <x:f>Parametros_Operacion!$B$4</x:f>
        <x:v>75.5</x:v>
      </x:c>
      <x:c r="U77" s="1" t="n">
        <x:v>7.81</x:v>
      </x:c>
      <x:c r="V77" s="1" t="n">
        <x:v>7.81</x:v>
      </x:c>
      <x:c r="W77" s="1" t="n">
        <x:f>T77</x:f>
        <x:v>75.5</x:v>
      </x:c>
    </x:row>
    <x:row r="78">
      <x:c r="A78" s="1" t="str">
        <x:v>RT-20260519-R001</x:v>
      </x:c>
      <x:c r="B78" s="1" t="str">
        <x:v>2026-05-19</x:v>
      </x:c>
      <x:c r="C78" s="1" t="str">
        <x:v>R001</x:v>
      </x:c>
      <x:c r="D78" s="1" t="str">
        <x:v>Carlos Mejía</x:v>
      </x:c>
      <x:c r="E78" s="1" t="str">
        <x:v>V001</x:v>
      </x:c>
      <x:c r="F78" s="1" t="str">
        <x:v>Pickup con carrocería</x:v>
      </x:c>
      <x:c r="G78" s="1" t="n">
        <x:v>1</x:v>
      </x:c>
      <x:c r="H78" s="5" t="n">
        <x:f>ROUND(2*T78+U78,2)</x:f>
        <x:v>5</x:v>
      </x:c>
      <x:c r="I78" s="5" t="n">
        <x:f>MIN(H78,ROUND(T78+V78+W78,2))</x:f>
        <x:v>5</x:v>
      </x:c>
      <x:c r="J78" s="5" t="n">
        <x:f>ROUND(H78-I78,2)</x:f>
        <x:v>0</x:v>
      </x:c>
      <x:c r="K78" s="5" t="n">
        <x:f>IF(H78=0,0,ROUND(100*J78/H78,2))</x:f>
        <x:v>0</x:v>
      </x:c>
      <x:c r="L78" s="5" t="n">
        <x:f>SUMIF(Pedidos!$L$2:$L$231,A78,Pedidos!$Q$2:$Q$231)</x:f>
        <x:v>17.33</x:v>
      </x:c>
      <x:c r="M78" s="5" t="n">
        <x:f>IF(J78=0,L78,MIN(L78,ROUND(I78/Vehiculos!$E$2*Vehiculos!$F$2,2)))</x:f>
        <x:v>17.33</x:v>
      </x:c>
      <x:c r="N78" s="5" t="n">
        <x:f>ROUND(L78-M78,2)</x:f>
        <x:v>0</x:v>
      </x:c>
      <x:c r="O78" s="5" t="n">
        <x:f>ROUND(H78/Vehiculos!$G$2*60+G78*8,0)</x:f>
        <x:v>14</x:v>
      </x:c>
      <x:c r="P78" s="5" t="n">
        <x:f>MIN(O78,ROUND(I78/Vehiculos!$G$2*60+G78*8,0))</x:f>
        <x:v>14</x:v>
      </x:c>
      <x:c r="Q78" s="5" t="n">
        <x:f>O78-P78</x:f>
        <x:v>0</x:v>
      </x:c>
      <x:c r="R78" s="1" t="str">
        <x:v>P0109</x:v>
      </x:c>
      <x:c r="S78" s="1" t="str">
        <x:v>La Ceiba</x:v>
      </x:c>
      <x:c r="T78" s="1" t="n">
        <x:f>Parametros_Operacion!$B$6</x:f>
        <x:v>0</x:v>
      </x:c>
      <x:c r="U78" s="1" t="n">
        <x:v>5</x:v>
      </x:c>
      <x:c r="V78" s="1" t="n">
        <x:v>5</x:v>
      </x:c>
      <x:c r="W78" s="1" t="n">
        <x:f>T78</x:f>
        <x:v>0</x:v>
      </x:c>
    </x:row>
    <x:row r="79">
      <x:c r="A79" s="1" t="str">
        <x:v>RT-20260519-R002</x:v>
      </x:c>
      <x:c r="B79" s="1" t="str">
        <x:v>2026-05-19</x:v>
      </x:c>
      <x:c r="C79" s="1" t="str">
        <x:v>R002</x:v>
      </x:c>
      <x:c r="D79" s="1" t="str">
        <x:v>Ana López</x:v>
      </x:c>
      <x:c r="E79" s="1" t="str">
        <x:v>V002</x:v>
      </x:c>
      <x:c r="F79" s="1" t="str">
        <x:v>Pickup con carrocería</x:v>
      </x:c>
      <x:c r="G79" s="1" t="n">
        <x:v>1</x:v>
      </x:c>
      <x:c r="H79" s="5" t="n">
        <x:f>ROUND(2*T79+U79,2)</x:f>
        <x:v>212.94</x:v>
      </x:c>
      <x:c r="I79" s="5" t="n">
        <x:f>MIN(H79,ROUND(T79+V79+W79,2))</x:f>
        <x:v>212.94</x:v>
      </x:c>
      <x:c r="J79" s="5" t="n">
        <x:f>ROUND(H79-I79,2)</x:f>
        <x:v>0</x:v>
      </x:c>
      <x:c r="K79" s="5" t="n">
        <x:f>IF(H79=0,0,ROUND(100*J79/H79,2))</x:f>
        <x:v>0</x:v>
      </x:c>
      <x:c r="L79" s="5" t="n">
        <x:f>SUMIF(Pedidos!$L$2:$L$231,A79,Pedidos!$Q$2:$Q$231)</x:f>
        <x:v>773.18</x:v>
      </x:c>
      <x:c r="M79" s="5" t="n">
        <x:f>IF(J79=0,L79,MIN(L79,ROUND(I79/Vehiculos!$E$3*Vehiculos!$F$3,2)))</x:f>
        <x:v>773.18</x:v>
      </x:c>
      <x:c r="N79" s="5" t="n">
        <x:f>ROUND(L79-M79,2)</x:f>
        <x:v>0</x:v>
      </x:c>
      <x:c r="O79" s="5" t="n">
        <x:f>ROUND(H79/Vehiculos!$G$3*60+G79*8,0)</x:f>
        <x:v>274</x:v>
      </x:c>
      <x:c r="P79" s="5" t="n">
        <x:f>MIN(O79,ROUND(I79/Vehiculos!$G$3*60+G79*8,0))</x:f>
        <x:v>274</x:v>
      </x:c>
      <x:c r="Q79" s="5" t="n">
        <x:f>O79-P79</x:f>
        <x:v>0</x:v>
      </x:c>
      <x:c r="R79" s="1" t="str">
        <x:v>P0168</x:v>
      </x:c>
      <x:c r="S79" s="1" t="str">
        <x:v>Tela</x:v>
      </x:c>
      <x:c r="T79" s="1" t="n">
        <x:f>Parametros_Operacion!$B$9</x:f>
        <x:v>102.3</x:v>
      </x:c>
      <x:c r="U79" s="1" t="n">
        <x:v>8.34</x:v>
      </x:c>
      <x:c r="V79" s="1" t="n">
        <x:v>8.34</x:v>
      </x:c>
      <x:c r="W79" s="1" t="n">
        <x:f>T79</x:f>
        <x:v>102.3</x:v>
      </x:c>
    </x:row>
    <x:row r="80">
      <x:c r="A80" s="1" t="str">
        <x:v>RT-20260519-R003</x:v>
      </x:c>
      <x:c r="B80" s="1" t="str">
        <x:v>2026-05-19</x:v>
      </x:c>
      <x:c r="C80" s="1" t="str">
        <x:v>R003</x:v>
      </x:c>
      <x:c r="D80" s="1" t="str">
        <x:v>Luis Ramírez</x:v>
      </x:c>
      <x:c r="E80" s="1" t="str">
        <x:v>V003</x:v>
      </x:c>
      <x:c r="F80" s="1" t="str">
        <x:v>Pickup con carrocería</x:v>
      </x:c>
      <x:c r="G80" s="1" t="n">
        <x:v>1</x:v>
      </x:c>
      <x:c r="H80" s="5" t="n">
        <x:f>ROUND(2*T80+U80,2)</x:f>
        <x:v>74.54</x:v>
      </x:c>
      <x:c r="I80" s="5" t="n">
        <x:f>MIN(H80,ROUND(T80+V80+W80,2))</x:f>
        <x:v>74.54</x:v>
      </x:c>
      <x:c r="J80" s="5" t="n">
        <x:f>ROUND(H80-I80,2)</x:f>
        <x:v>0</x:v>
      </x:c>
      <x:c r="K80" s="5" t="n">
        <x:f>IF(H80=0,0,ROUND(100*J80/H80,2))</x:f>
        <x:v>0</x:v>
      </x:c>
      <x:c r="L80" s="5" t="n">
        <x:f>SUMIF(Pedidos!$L$2:$L$231,A80,Pedidos!$Q$2:$Q$231)</x:f>
        <x:v>284.19</x:v>
      </x:c>
      <x:c r="M80" s="5" t="n">
        <x:f>IF(J80=0,L80,MIN(L80,ROUND(I80/Vehiculos!$E$4*Vehiculos!$F$4,2)))</x:f>
        <x:v>284.19</x:v>
      </x:c>
      <x:c r="N80" s="5" t="n">
        <x:f>ROUND(L80-M80,2)</x:f>
        <x:v>0</x:v>
      </x:c>
      <x:c r="O80" s="5" t="n">
        <x:f>ROUND(H80/Vehiculos!$G$4*60+G80*8,0)</x:f>
        <x:v>103</x:v>
      </x:c>
      <x:c r="P80" s="5" t="n">
        <x:f>MIN(O80,ROUND(I80/Vehiculos!$G$4*60+G80*8,0))</x:f>
        <x:v>103</x:v>
      </x:c>
      <x:c r="Q80" s="5" t="n">
        <x:f>O80-P80</x:f>
        <x:v>0</x:v>
      </x:c>
      <x:c r="R80" s="1" t="str">
        <x:v>P0167</x:v>
      </x:c>
      <x:c r="S80" s="1" t="str">
        <x:v>Jutiapa</x:v>
      </x:c>
      <x:c r="T80" s="1" t="n">
        <x:f>Parametros_Operacion!$B$5</x:f>
        <x:v>31.4</x:v>
      </x:c>
      <x:c r="U80" s="1" t="n">
        <x:v>11.74</x:v>
      </x:c>
      <x:c r="V80" s="1" t="n">
        <x:v>11.74</x:v>
      </x:c>
      <x:c r="W80" s="1" t="n">
        <x:f>T80</x:f>
        <x:v>31.4</x:v>
      </x:c>
    </x:row>
    <x:row r="81">
      <x:c r="A81" s="1" t="str">
        <x:v>RT-20260519-R004</x:v>
      </x:c>
      <x:c r="B81" s="1" t="str">
        <x:v>2026-05-19</x:v>
      </x:c>
      <x:c r="C81" s="1" t="str">
        <x:v>R004</x:v>
      </x:c>
      <x:c r="D81" s="1" t="str">
        <x:v>Daniela Cruz</x:v>
      </x:c>
      <x:c r="E81" s="1" t="str">
        <x:v>V004</x:v>
      </x:c>
      <x:c r="F81" s="1" t="str">
        <x:v>Pickup con carrocería</x:v>
      </x:c>
      <x:c r="G81" s="1" t="n">
        <x:v>1</x:v>
      </x:c>
      <x:c r="H81" s="5" t="n">
        <x:f>ROUND(2*T81+U81,2)</x:f>
        <x:v>87.62</x:v>
      </x:c>
      <x:c r="I81" s="5" t="n">
        <x:f>MIN(H81,ROUND(T81+V81+W81,2))</x:f>
        <x:v>87.62</x:v>
      </x:c>
      <x:c r="J81" s="5" t="n">
        <x:f>ROUND(H81-I81,2)</x:f>
        <x:v>0</x:v>
      </x:c>
      <x:c r="K81" s="5" t="n">
        <x:f>IF(H81=0,0,ROUND(100*J81/H81,2))</x:f>
        <x:v>0</x:v>
      </x:c>
      <x:c r="L81" s="5" t="n">
        <x:f>SUMIF(Pedidos!$L$2:$L$231,A81,Pedidos!$Q$2:$Q$231)</x:f>
        <x:v>318.15</x:v>
      </x:c>
      <x:c r="M81" s="5" t="n">
        <x:f>IF(J81=0,L81,MIN(L81,ROUND(I81/Vehiculos!$E$5*Vehiculos!$F$5,2)))</x:f>
        <x:v>318.15</x:v>
      </x:c>
      <x:c r="N81" s="5" t="n">
        <x:f>ROUND(L81-M81,2)</x:f>
        <x:v>0</x:v>
      </x:c>
      <x:c r="O81" s="5" t="n">
        <x:f>ROUND(H81/Vehiculos!$G$5*60+G81*8,0)</x:f>
        <x:v>115</x:v>
      </x:c>
      <x:c r="P81" s="5" t="n">
        <x:f>MIN(O81,ROUND(I81/Vehiculos!$G$5*60+G81*8,0))</x:f>
        <x:v>115</x:v>
      </x:c>
      <x:c r="Q81" s="5" t="n">
        <x:f>O81-P81</x:f>
        <x:v>0</x:v>
      </x:c>
      <x:c r="R81" s="1" t="str">
        <x:v>P0153</x:v>
      </x:c>
      <x:c r="S81" s="1" t="str">
        <x:v>La Masica</x:v>
      </x:c>
      <x:c r="T81" s="1" t="n">
        <x:f>Parametros_Operacion!$B$7</x:f>
        <x:v>41.2</x:v>
      </x:c>
      <x:c r="U81" s="1" t="n">
        <x:v>5.22</x:v>
      </x:c>
      <x:c r="V81" s="1" t="n">
        <x:v>5.22</x:v>
      </x:c>
      <x:c r="W81" s="1" t="n">
        <x:f>T81</x:f>
        <x:v>41.2</x:v>
      </x:c>
    </x:row>
    <x:row r="82">
      <x:c r="A82" s="1" t="str">
        <x:v>RT-20260519-R005</x:v>
      </x:c>
      <x:c r="B82" s="1" t="str">
        <x:v>2026-05-19</x:v>
      </x:c>
      <x:c r="C82" s="1" t="str">
        <x:v>R005</x:v>
      </x:c>
      <x:c r="D82" s="1" t="str">
        <x:v>José Martínez</x:v>
      </x:c>
      <x:c r="E82" s="1" t="str">
        <x:v>V005</x:v>
      </x:c>
      <x:c r="F82" s="1" t="str">
        <x:v>Camión pequeño</x:v>
      </x:c>
      <x:c r="G82" s="1" t="n">
        <x:v>1</x:v>
      </x:c>
      <x:c r="H82" s="5" t="n">
        <x:f>ROUND(2*T82+U82,2)</x:f>
        <x:v>76.04</x:v>
      </x:c>
      <x:c r="I82" s="5" t="n">
        <x:f>MIN(H82,ROUND(T82+V82+W82,2))</x:f>
        <x:v>76.04</x:v>
      </x:c>
      <x:c r="J82" s="5" t="n">
        <x:f>ROUND(H82-I82,2)</x:f>
        <x:v>0</x:v>
      </x:c>
      <x:c r="K82" s="5" t="n">
        <x:f>IF(H82=0,0,ROUND(100*J82/H82,2))</x:f>
        <x:v>0</x:v>
      </x:c>
      <x:c r="L82" s="5" t="n">
        <x:f>SUMIF(Pedidos!$L$2:$L$231,A82,Pedidos!$Q$2:$Q$231)</x:f>
        <x:v>362.38</x:v>
      </x:c>
      <x:c r="M82" s="5" t="n">
        <x:f>IF(J82=0,L82,MIN(L82,ROUND(I82/Vehiculos!$E$6*Vehiculos!$F$6,2)))</x:f>
        <x:v>362.38</x:v>
      </x:c>
      <x:c r="N82" s="5" t="n">
        <x:f>ROUND(L82-M82,2)</x:f>
        <x:v>0</x:v>
      </x:c>
      <x:c r="O82" s="5" t="n">
        <x:f>ROUND(H82/Vehiculos!$G$6*60+G82*8,0)</x:f>
        <x:v>114</x:v>
      </x:c>
      <x:c r="P82" s="5" t="n">
        <x:f>MIN(O82,ROUND(I82/Vehiculos!$G$6*60+G82*8,0))</x:f>
        <x:v>114</x:v>
      </x:c>
      <x:c r="Q82" s="5" t="n">
        <x:f>O82-P82</x:f>
        <x:v>0</x:v>
      </x:c>
      <x:c r="R82" s="1" t="str">
        <x:v>P0139</x:v>
      </x:c>
      <x:c r="S82" s="1" t="str">
        <x:v>San Francisco</x:v>
      </x:c>
      <x:c r="T82" s="1" t="n">
        <x:f>Parametros_Operacion!$B$8</x:f>
        <x:v>35</x:v>
      </x:c>
      <x:c r="U82" s="1" t="n">
        <x:v>6.04</x:v>
      </x:c>
      <x:c r="V82" s="1" t="n">
        <x:v>6.04</x:v>
      </x:c>
      <x:c r="W82" s="1" t="n">
        <x:f>T82</x:f>
        <x:v>35</x:v>
      </x:c>
    </x:row>
    <x:row r="83">
      <x:c r="A83" s="1" t="str">
        <x:v>RT-20260519-R006</x:v>
      </x:c>
      <x:c r="B83" s="1" t="str">
        <x:v>2026-05-19</x:v>
      </x:c>
      <x:c r="C83" s="1" t="str">
        <x:v>R006</x:v>
      </x:c>
      <x:c r="D83" s="1" t="str">
        <x:v>Kevin Flores</x:v>
      </x:c>
      <x:c r="E83" s="1" t="str">
        <x:v>V006</x:v>
      </x:c>
      <x:c r="F83" s="1" t="str">
        <x:v>Pickup con carrocería</x:v>
      </x:c>
      <x:c r="G83" s="1" t="n">
        <x:v>2</x:v>
      </x:c>
      <x:c r="H83" s="5" t="n">
        <x:f>ROUND(2*T83+U83,2)</x:f>
        <x:v>152.67</x:v>
      </x:c>
      <x:c r="I83" s="5" t="n">
        <x:f>MIN(H83,ROUND(T83+V83+W83,2))</x:f>
        <x:v>152.67</x:v>
      </x:c>
      <x:c r="J83" s="5" t="n">
        <x:f>ROUND(H83-I83,2)</x:f>
        <x:v>0</x:v>
      </x:c>
      <x:c r="K83" s="5" t="n">
        <x:f>IF(H83=0,0,ROUND(100*J83/H83,2))</x:f>
        <x:v>0</x:v>
      </x:c>
      <x:c r="L83" s="5" t="n">
        <x:f>SUMIF(Pedidos!$L$2:$L$231,A83,Pedidos!$Q$2:$Q$231)</x:f>
        <x:v>582.06</x:v>
      </x:c>
      <x:c r="M83" s="5" t="n">
        <x:f>IF(J83=0,L83,MIN(L83,ROUND(I83/Vehiculos!$E$7*Vehiculos!$F$7,2)))</x:f>
        <x:v>582.06</x:v>
      </x:c>
      <x:c r="N83" s="5" t="n">
        <x:f>ROUND(L83-M83,2)</x:f>
        <x:v>0</x:v>
      </x:c>
      <x:c r="O83" s="5" t="n">
        <x:f>ROUND(H83/Vehiculos!$G$7*60+G83*8,0)</x:f>
        <x:v>211</x:v>
      </x:c>
      <x:c r="P83" s="5" t="n">
        <x:f>MIN(O83,ROUND(I83/Vehiculos!$G$7*60+G83*8,0))</x:f>
        <x:v>211</x:v>
      </x:c>
      <x:c r="Q83" s="5" t="n">
        <x:f>O83-P83</x:f>
        <x:v>0</x:v>
      </x:c>
      <x:c r="R83" s="1" t="str">
        <x:v>P0143 &gt; P0155</x:v>
      </x:c>
      <x:c r="S83" s="1" t="str">
        <x:v>Arizona</x:v>
      </x:c>
      <x:c r="T83" s="1" t="n">
        <x:f>Parametros_Operacion!$B$2</x:f>
        <x:v>72.5</x:v>
      </x:c>
      <x:c r="U83" s="1" t="n">
        <x:v>7.67</x:v>
      </x:c>
      <x:c r="V83" s="1" t="n">
        <x:v>7.67</x:v>
      </x:c>
      <x:c r="W83" s="1" t="n">
        <x:f>T83</x:f>
        <x:v>72.5</x:v>
      </x:c>
    </x:row>
    <x:row r="84">
      <x:c r="A84" s="1" t="str">
        <x:v>RT-20260519-R008</x:v>
      </x:c>
      <x:c r="B84" s="1" t="str">
        <x:v>2026-05-19</x:v>
      </x:c>
      <x:c r="C84" s="1" t="str">
        <x:v>R008</x:v>
      </x:c>
      <x:c r="D84" s="1" t="str">
        <x:v>Jorge Castro</x:v>
      </x:c>
      <x:c r="E84" s="1" t="str">
        <x:v>V008</x:v>
      </x:c>
      <x:c r="F84" s="1" t="str">
        <x:v>Camión pequeño</x:v>
      </x:c>
      <x:c r="G84" s="1" t="n">
        <x:v>1</x:v>
      </x:c>
      <x:c r="H84" s="5" t="n">
        <x:f>ROUND(2*T84+U84,2)</x:f>
        <x:v>38.32</x:v>
      </x:c>
      <x:c r="I84" s="5" t="n">
        <x:f>MIN(H84,ROUND(T84+V84+W84,2))</x:f>
        <x:v>38.32</x:v>
      </x:c>
      <x:c r="J84" s="5" t="n">
        <x:f>ROUND(H84-I84,2)</x:f>
        <x:v>0</x:v>
      </x:c>
      <x:c r="K84" s="5" t="n">
        <x:f>IF(H84=0,0,ROUND(100*J84/H84,2))</x:f>
        <x:v>0</x:v>
      </x:c>
      <x:c r="L84" s="5" t="n">
        <x:f>SUMIF(Pedidos!$L$2:$L$231,A84,Pedidos!$Q$2:$Q$231)</x:f>
        <x:v>194.79</x:v>
      </x:c>
      <x:c r="M84" s="5" t="n">
        <x:f>IF(J84=0,L84,MIN(L84,ROUND(I84/Vehiculos!$E$9*Vehiculos!$F$9,2)))</x:f>
        <x:v>194.79</x:v>
      </x:c>
      <x:c r="N84" s="5" t="n">
        <x:f>ROUND(L84-M84,2)</x:f>
        <x:v>0</x:v>
      </x:c>
      <x:c r="O84" s="5" t="n">
        <x:f>ROUND(H84/Vehiculos!$G$9*60+G84*8,0)</x:f>
        <x:v>63</x:v>
      </x:c>
      <x:c r="P84" s="5" t="n">
        <x:f>MIN(O84,ROUND(I84/Vehiculos!$G$9*60+G84*8,0))</x:f>
        <x:v>63</x:v>
      </x:c>
      <x:c r="Q84" s="5" t="n">
        <x:f>O84-P84</x:f>
        <x:v>0</x:v>
      </x:c>
      <x:c r="R84" s="1" t="str">
        <x:v>P0170</x:v>
      </x:c>
      <x:c r="S84" s="1" t="str">
        <x:v>El Porvenir</x:v>
      </x:c>
      <x:c r="T84" s="1" t="n">
        <x:f>Parametros_Operacion!$B$3</x:f>
        <x:v>16.5</x:v>
      </x:c>
      <x:c r="U84" s="1" t="n">
        <x:v>5.32</x:v>
      </x:c>
      <x:c r="V84" s="1" t="n">
        <x:v>5.32</x:v>
      </x:c>
      <x:c r="W84" s="1" t="n">
        <x:f>T84</x:f>
        <x:v>16.5</x:v>
      </x:c>
    </x:row>
    <x:row r="85">
      <x:c r="A85" s="1" t="str">
        <x:v>RT-20260520-R001</x:v>
      </x:c>
      <x:c r="B85" s="1" t="str">
        <x:v>2026-05-20</x:v>
      </x:c>
      <x:c r="C85" s="1" t="str">
        <x:v>R001</x:v>
      </x:c>
      <x:c r="D85" s="1" t="str">
        <x:v>Carlos Mejía</x:v>
      </x:c>
      <x:c r="E85" s="1" t="str">
        <x:v>V001</x:v>
      </x:c>
      <x:c r="F85" s="1" t="str">
        <x:v>Pickup con carrocería</x:v>
      </x:c>
      <x:c r="G85" s="1" t="n">
        <x:v>2</x:v>
      </x:c>
      <x:c r="H85" s="5" t="n">
        <x:f>ROUND(2*T85+U85,2)</x:f>
        <x:v>19.94</x:v>
      </x:c>
      <x:c r="I85" s="5" t="n">
        <x:f>MIN(H85,ROUND(T85+V85+W85,2))</x:f>
        <x:v>19.94</x:v>
      </x:c>
      <x:c r="J85" s="5" t="n">
        <x:f>ROUND(H85-I85,2)</x:f>
        <x:v>0</x:v>
      </x:c>
      <x:c r="K85" s="5" t="n">
        <x:f>IF(H85=0,0,ROUND(100*J85/H85,2))</x:f>
        <x:v>0</x:v>
      </x:c>
      <x:c r="L85" s="5" t="n">
        <x:f>SUMIF(Pedidos!$L$2:$L$231,A85,Pedidos!$Q$2:$Q$231)</x:f>
        <x:v>69.11</x:v>
      </x:c>
      <x:c r="M85" s="5" t="n">
        <x:f>IF(J85=0,L85,MIN(L85,ROUND(I85/Vehiculos!$E$2*Vehiculos!$F$2,2)))</x:f>
        <x:v>69.11</x:v>
      </x:c>
      <x:c r="N85" s="5" t="n">
        <x:f>ROUND(L85-M85,2)</x:f>
        <x:v>0</x:v>
      </x:c>
      <x:c r="O85" s="5" t="n">
        <x:f>ROUND(H85/Vehiculos!$G$2*60+G85*8,0)</x:f>
        <x:v>40</x:v>
      </x:c>
      <x:c r="P85" s="5" t="n">
        <x:f>MIN(O85,ROUND(I85/Vehiculos!$G$2*60+G85*8,0))</x:f>
        <x:v>40</x:v>
      </x:c>
      <x:c r="Q85" s="5" t="n">
        <x:f>O85-P85</x:f>
        <x:v>0</x:v>
      </x:c>
      <x:c r="R85" s="1" t="str">
        <x:v>P0157 &gt; P0030</x:v>
      </x:c>
      <x:c r="S85" s="1" t="str">
        <x:v>La Ceiba</x:v>
      </x:c>
      <x:c r="T85" s="1" t="n">
        <x:f>Parametros_Operacion!$B$6</x:f>
        <x:v>0</x:v>
      </x:c>
      <x:c r="U85" s="1" t="n">
        <x:v>19.94</x:v>
      </x:c>
      <x:c r="V85" s="1" t="n">
        <x:v>19.94</x:v>
      </x:c>
      <x:c r="W85" s="1" t="n">
        <x:f>T85</x:f>
        <x:v>0</x:v>
      </x:c>
    </x:row>
    <x:row r="86">
      <x:c r="A86" s="1" t="str">
        <x:v>RT-20260520-R004</x:v>
      </x:c>
      <x:c r="B86" s="1" t="str">
        <x:v>2026-05-20</x:v>
      </x:c>
      <x:c r="C86" s="1" t="str">
        <x:v>R004</x:v>
      </x:c>
      <x:c r="D86" s="1" t="str">
        <x:v>Daniela Cruz</x:v>
      </x:c>
      <x:c r="E86" s="1" t="str">
        <x:v>V004</x:v>
      </x:c>
      <x:c r="F86" s="1" t="str">
        <x:v>Pickup con carrocería</x:v>
      </x:c>
      <x:c r="G86" s="1" t="n">
        <x:v>4</x:v>
      </x:c>
      <x:c r="H86" s="5" t="n">
        <x:f>ROUND(2*T86+U86,2)</x:f>
        <x:v>110.63</x:v>
      </x:c>
      <x:c r="I86" s="5" t="n">
        <x:f>MIN(H86,ROUND(T86+V86+W86,2))</x:f>
        <x:v>99.29</x:v>
      </x:c>
      <x:c r="J86" s="5" t="n">
        <x:f>ROUND(H86-I86,2)</x:f>
        <x:v>11.34</x:v>
      </x:c>
      <x:c r="K86" s="5" t="n">
        <x:f>IF(H86=0,0,ROUND(100*J86/H86,2))</x:f>
        <x:v>10.25</x:v>
      </x:c>
      <x:c r="L86" s="5" t="n">
        <x:f>SUMIF(Pedidos!$L$2:$L$231,A86,Pedidos!$Q$2:$Q$231)</x:f>
        <x:v>401.7</x:v>
      </x:c>
      <x:c r="M86" s="5" t="n">
        <x:f>IF(J86=0,L86,MIN(L86,ROUND(I86/Vehiculos!$E$5*Vehiculos!$F$5,2)))</x:f>
        <x:v>360.52</x:v>
      </x:c>
      <x:c r="N86" s="5" t="n">
        <x:f>ROUND(L86-M86,2)</x:f>
        <x:v>41.18</x:v>
      </x:c>
      <x:c r="O86" s="5" t="n">
        <x:f>ROUND(H86/Vehiculos!$G$5*60+G86*8,0)</x:f>
        <x:v>167</x:v>
      </x:c>
      <x:c r="P86" s="5" t="n">
        <x:f>MIN(O86,ROUND(I86/Vehiculos!$G$5*60+G86*8,0))</x:f>
        <x:v>154</x:v>
      </x:c>
      <x:c r="Q86" s="5" t="n">
        <x:f>O86-P86</x:f>
        <x:v>13</x:v>
      </x:c>
      <x:c r="R86" s="1" t="str">
        <x:v>P0160 &gt; P0172 &gt; P0140 &gt; P0127</x:v>
      </x:c>
      <x:c r="S86" s="1" t="str">
        <x:v>La Masica</x:v>
      </x:c>
      <x:c r="T86" s="1" t="n">
        <x:f>Parametros_Operacion!$B$7</x:f>
        <x:v>41.2</x:v>
      </x:c>
      <x:c r="U86" s="1" t="n">
        <x:v>28.23</x:v>
      </x:c>
      <x:c r="V86" s="1" t="n">
        <x:v>16.89</x:v>
      </x:c>
      <x:c r="W86" s="1" t="n">
        <x:f>T86</x:f>
        <x:v>41.2</x:v>
      </x:c>
    </x:row>
    <x:row r="87">
      <x:c r="A87" s="1" t="str">
        <x:v>RT-20260520-R006</x:v>
      </x:c>
      <x:c r="B87" s="1" t="str">
        <x:v>2026-05-20</x:v>
      </x:c>
      <x:c r="C87" s="1" t="str">
        <x:v>R006</x:v>
      </x:c>
      <x:c r="D87" s="1" t="str">
        <x:v>Kevin Flores</x:v>
      </x:c>
      <x:c r="E87" s="1" t="str">
        <x:v>V006</x:v>
      </x:c>
      <x:c r="F87" s="1" t="str">
        <x:v>Pickup con carrocería</x:v>
      </x:c>
      <x:c r="G87" s="1" t="n">
        <x:v>2</x:v>
      </x:c>
      <x:c r="H87" s="5" t="n">
        <x:f>ROUND(2*T87+U87,2)</x:f>
        <x:v>153.46</x:v>
      </x:c>
      <x:c r="I87" s="5" t="n">
        <x:f>MIN(H87,ROUND(T87+V87+W87,2))</x:f>
        <x:v>153.46</x:v>
      </x:c>
      <x:c r="J87" s="5" t="n">
        <x:f>ROUND(H87-I87,2)</x:f>
        <x:v>0</x:v>
      </x:c>
      <x:c r="K87" s="5" t="n">
        <x:f>IF(H87=0,0,ROUND(100*J87/H87,2))</x:f>
        <x:v>0</x:v>
      </x:c>
      <x:c r="L87" s="5" t="n">
        <x:f>SUMIF(Pedidos!$L$2:$L$231,A87,Pedidos!$Q$2:$Q$231)</x:f>
        <x:v>585.08</x:v>
      </x:c>
      <x:c r="M87" s="5" t="n">
        <x:f>IF(J87=0,L87,MIN(L87,ROUND(I87/Vehiculos!$E$7*Vehiculos!$F$7,2)))</x:f>
        <x:v>585.08</x:v>
      </x:c>
      <x:c r="N87" s="5" t="n">
        <x:f>ROUND(L87-M87,2)</x:f>
        <x:v>0</x:v>
      </x:c>
      <x:c r="O87" s="5" t="n">
        <x:f>ROUND(H87/Vehiculos!$G$7*60+G87*8,0)</x:f>
        <x:v>212</x:v>
      </x:c>
      <x:c r="P87" s="5" t="n">
        <x:f>MIN(O87,ROUND(I87/Vehiculos!$G$7*60+G87*8,0))</x:f>
        <x:v>212</x:v>
      </x:c>
      <x:c r="Q87" s="5" t="n">
        <x:f>O87-P87</x:f>
        <x:v>0</x:v>
      </x:c>
      <x:c r="R87" s="1" t="str">
        <x:v>P0173 &gt; P0136</x:v>
      </x:c>
      <x:c r="S87" s="1" t="str">
        <x:v>Arizona</x:v>
      </x:c>
      <x:c r="T87" s="1" t="n">
        <x:f>Parametros_Operacion!$B$2</x:f>
        <x:v>72.5</x:v>
      </x:c>
      <x:c r="U87" s="1" t="n">
        <x:v>8.46</x:v>
      </x:c>
      <x:c r="V87" s="1" t="n">
        <x:v>8.46</x:v>
      </x:c>
      <x:c r="W87" s="1" t="n">
        <x:f>T87</x:f>
        <x:v>72.5</x:v>
      </x:c>
    </x:row>
    <x:row r="88">
      <x:c r="A88" s="1" t="str">
        <x:v>RT-20260520-R007</x:v>
      </x:c>
      <x:c r="B88" s="1" t="str">
        <x:v>2026-05-20</x:v>
      </x:c>
      <x:c r="C88" s="1" t="str">
        <x:v>R007</x:v>
      </x:c>
      <x:c r="D88" s="1" t="str">
        <x:v>María Hernández</x:v>
      </x:c>
      <x:c r="E88" s="1" t="str">
        <x:v>V007</x:v>
      </x:c>
      <x:c r="F88" s="1" t="str">
        <x:v>Pickup con carrocería</x:v>
      </x:c>
      <x:c r="G88" s="1" t="n">
        <x:v>1</x:v>
      </x:c>
      <x:c r="H88" s="5" t="n">
        <x:f>ROUND(2*T88+U88,2)</x:f>
        <x:v>155.84</x:v>
      </x:c>
      <x:c r="I88" s="5" t="n">
        <x:f>MIN(H88,ROUND(T88+V88+W88,2))</x:f>
        <x:v>155.84</x:v>
      </x:c>
      <x:c r="J88" s="5" t="n">
        <x:f>ROUND(H88-I88,2)</x:f>
        <x:v>0</x:v>
      </x:c>
      <x:c r="K88" s="5" t="n">
        <x:f>IF(H88=0,0,ROUND(100*J88/H88,2))</x:f>
        <x:v>0</x:v>
      </x:c>
      <x:c r="L88" s="5" t="n">
        <x:f>SUMIF(Pedidos!$L$2:$L$231,A88,Pedidos!$Q$2:$Q$231)</x:f>
        <x:v>594.14</x:v>
      </x:c>
      <x:c r="M88" s="5" t="n">
        <x:f>IF(J88=0,L88,MIN(L88,ROUND(I88/Vehiculos!$E$8*Vehiculos!$F$8,2)))</x:f>
        <x:v>594.14</x:v>
      </x:c>
      <x:c r="N88" s="5" t="n">
        <x:f>ROUND(L88-M88,2)</x:f>
        <x:v>0</x:v>
      </x:c>
      <x:c r="O88" s="5" t="n">
        <x:f>ROUND(H88/Vehiculos!$G$8*60+G88*8,0)</x:f>
        <x:v>211</x:v>
      </x:c>
      <x:c r="P88" s="5" t="n">
        <x:f>MIN(O88,ROUND(I88/Vehiculos!$G$8*60+G88*8,0))</x:f>
        <x:v>211</x:v>
      </x:c>
      <x:c r="Q88" s="5" t="n">
        <x:f>O88-P88</x:f>
        <x:v>0</x:v>
      </x:c>
      <x:c r="R88" s="1" t="str">
        <x:v>P0100</x:v>
      </x:c>
      <x:c r="S88" s="1" t="str">
        <x:v>Esparta</x:v>
      </x:c>
      <x:c r="T88" s="1" t="n">
        <x:f>Parametros_Operacion!$B$4</x:f>
        <x:v>75.5</x:v>
      </x:c>
      <x:c r="U88" s="1" t="n">
        <x:v>4.84</x:v>
      </x:c>
      <x:c r="V88" s="1" t="n">
        <x:v>4.84</x:v>
      </x:c>
      <x:c r="W88" s="1" t="n">
        <x:f>T88</x:f>
        <x:v>75.5</x:v>
      </x:c>
    </x:row>
    <x:row r="89">
      <x:c r="A89" s="1" t="str">
        <x:v>RT-20260520-R008</x:v>
      </x:c>
      <x:c r="B89" s="1" t="str">
        <x:v>2026-05-20</x:v>
      </x:c>
      <x:c r="C89" s="1" t="str">
        <x:v>R008</x:v>
      </x:c>
      <x:c r="D89" s="1" t="str">
        <x:v>Jorge Castro</x:v>
      </x:c>
      <x:c r="E89" s="1" t="str">
        <x:v>V008</x:v>
      </x:c>
      <x:c r="F89" s="1" t="str">
        <x:v>Camión pequeño</x:v>
      </x:c>
      <x:c r="G89" s="1" t="n">
        <x:v>2</x:v>
      </x:c>
      <x:c r="H89" s="5" t="n">
        <x:f>ROUND(2*T89+U89,2)</x:f>
        <x:v>43.91</x:v>
      </x:c>
      <x:c r="I89" s="5" t="n">
        <x:f>MIN(H89,ROUND(T89+V89+W89,2))</x:f>
        <x:v>43.91</x:v>
      </x:c>
      <x:c r="J89" s="5" t="n">
        <x:f>ROUND(H89-I89,2)</x:f>
        <x:v>0</x:v>
      </x:c>
      <x:c r="K89" s="5" t="n">
        <x:f>IF(H89=0,0,ROUND(100*J89/H89,2))</x:f>
        <x:v>0</x:v>
      </x:c>
      <x:c r="L89" s="5" t="n">
        <x:f>SUMIF(Pedidos!$L$2:$L$231,A89,Pedidos!$Q$2:$Q$231)</x:f>
        <x:v>223.21</x:v>
      </x:c>
      <x:c r="M89" s="5" t="n">
        <x:f>IF(J89=0,L89,MIN(L89,ROUND(I89/Vehiculos!$E$9*Vehiculos!$F$9,2)))</x:f>
        <x:v>223.21</x:v>
      </x:c>
      <x:c r="N89" s="5" t="n">
        <x:f>ROUND(L89-M89,2)</x:f>
        <x:v>0</x:v>
      </x:c>
      <x:c r="O89" s="5" t="n">
        <x:f>ROUND(H89/Vehiculos!$G$9*60+G89*8,0)</x:f>
        <x:v>79</x:v>
      </x:c>
      <x:c r="P89" s="5" t="n">
        <x:f>MIN(O89,ROUND(I89/Vehiculos!$G$9*60+G89*8,0))</x:f>
        <x:v>79</x:v>
      </x:c>
      <x:c r="Q89" s="5" t="n">
        <x:f>O89-P89</x:f>
        <x:v>0</x:v>
      </x:c>
      <x:c r="R89" s="1" t="str">
        <x:v>P0113 &gt; P0147</x:v>
      </x:c>
      <x:c r="S89" s="1" t="str">
        <x:v>El Porvenir</x:v>
      </x:c>
      <x:c r="T89" s="1" t="n">
        <x:f>Parametros_Operacion!$B$3</x:f>
        <x:v>16.5</x:v>
      </x:c>
      <x:c r="U89" s="1" t="n">
        <x:v>10.91</x:v>
      </x:c>
      <x:c r="V89" s="1" t="n">
        <x:v>10.91</x:v>
      </x:c>
      <x:c r="W89" s="1" t="n">
        <x:f>T89</x:f>
        <x:v>16.5</x:v>
      </x:c>
    </x:row>
    <x:row r="90">
      <x:c r="A90" s="1" t="str">
        <x:v>RT-20260521-R002</x:v>
      </x:c>
      <x:c r="B90" s="1" t="str">
        <x:v>2026-05-21</x:v>
      </x:c>
      <x:c r="C90" s="1" t="str">
        <x:v>R002</x:v>
      </x:c>
      <x:c r="D90" s="1" t="str">
        <x:v>Ana López</x:v>
      </x:c>
      <x:c r="E90" s="1" t="str">
        <x:v>V002</x:v>
      </x:c>
      <x:c r="F90" s="1" t="str">
        <x:v>Pickup con carrocería</x:v>
      </x:c>
      <x:c r="G90" s="1" t="n">
        <x:v>2</x:v>
      </x:c>
      <x:c r="H90" s="5" t="n">
        <x:f>ROUND(2*T90+U90,2)</x:f>
        <x:v>215.84</x:v>
      </x:c>
      <x:c r="I90" s="5" t="n">
        <x:f>MIN(H90,ROUND(T90+V90+W90,2))</x:f>
        <x:v>215.84</x:v>
      </x:c>
      <x:c r="J90" s="5" t="n">
        <x:f>ROUND(H90-I90,2)</x:f>
        <x:v>0</x:v>
      </x:c>
      <x:c r="K90" s="5" t="n">
        <x:f>IF(H90=0,0,ROUND(100*J90/H90,2))</x:f>
        <x:v>0</x:v>
      </x:c>
      <x:c r="L90" s="5" t="n">
        <x:f>SUMIF(Pedidos!$L$2:$L$231,A90,Pedidos!$Q$2:$Q$231)</x:f>
        <x:v>783.71</x:v>
      </x:c>
      <x:c r="M90" s="5" t="n">
        <x:f>IF(J90=0,L90,MIN(L90,ROUND(I90/Vehiculos!$E$3*Vehiculos!$F$3,2)))</x:f>
        <x:v>783.71</x:v>
      </x:c>
      <x:c r="N90" s="5" t="n">
        <x:f>ROUND(L90-M90,2)</x:f>
        <x:v>0</x:v>
      </x:c>
      <x:c r="O90" s="5" t="n">
        <x:f>ROUND(H90/Vehiculos!$G$3*60+G90*8,0)</x:f>
        <x:v>286</x:v>
      </x:c>
      <x:c r="P90" s="5" t="n">
        <x:f>MIN(O90,ROUND(I90/Vehiculos!$G$3*60+G90*8,0))</x:f>
        <x:v>286</x:v>
      </x:c>
      <x:c r="Q90" s="5" t="n">
        <x:f>O90-P90</x:f>
        <x:v>0</x:v>
      </x:c>
      <x:c r="R90" s="1" t="str">
        <x:v>P0093 &gt; P0175</x:v>
      </x:c>
      <x:c r="S90" s="1" t="str">
        <x:v>Tela</x:v>
      </x:c>
      <x:c r="T90" s="1" t="n">
        <x:f>Parametros_Operacion!$B$9</x:f>
        <x:v>102.3</x:v>
      </x:c>
      <x:c r="U90" s="1" t="n">
        <x:v>11.24</x:v>
      </x:c>
      <x:c r="V90" s="1" t="n">
        <x:v>11.24</x:v>
      </x:c>
      <x:c r="W90" s="1" t="n">
        <x:f>T90</x:f>
        <x:v>102.3</x:v>
      </x:c>
    </x:row>
    <x:row r="91">
      <x:c r="A91" s="1" t="str">
        <x:v>RT-20260521-R003</x:v>
      </x:c>
      <x:c r="B91" s="1" t="str">
        <x:v>2026-05-21</x:v>
      </x:c>
      <x:c r="C91" s="1" t="str">
        <x:v>R003</x:v>
      </x:c>
      <x:c r="D91" s="1" t="str">
        <x:v>Luis Ramírez</x:v>
      </x:c>
      <x:c r="E91" s="1" t="str">
        <x:v>V003</x:v>
      </x:c>
      <x:c r="F91" s="1" t="str">
        <x:v>Pickup con carrocería</x:v>
      </x:c>
      <x:c r="G91" s="1" t="n">
        <x:v>1</x:v>
      </x:c>
      <x:c r="H91" s="5" t="n">
        <x:f>ROUND(2*T91+U91,2)</x:f>
        <x:v>68.04</x:v>
      </x:c>
      <x:c r="I91" s="5" t="n">
        <x:f>MIN(H91,ROUND(T91+V91+W91,2))</x:f>
        <x:v>68.04</x:v>
      </x:c>
      <x:c r="J91" s="5" t="n">
        <x:f>ROUND(H91-I91,2)</x:f>
        <x:v>0</x:v>
      </x:c>
      <x:c r="K91" s="5" t="n">
        <x:f>IF(H91=0,0,ROUND(100*J91/H91,2))</x:f>
        <x:v>0</x:v>
      </x:c>
      <x:c r="L91" s="5" t="n">
        <x:f>SUMIF(Pedidos!$L$2:$L$231,A91,Pedidos!$Q$2:$Q$231)</x:f>
        <x:v>259.4</x:v>
      </x:c>
      <x:c r="M91" s="5" t="n">
        <x:f>IF(J91=0,L91,MIN(L91,ROUND(I91/Vehiculos!$E$4*Vehiculos!$F$4,2)))</x:f>
        <x:v>259.4</x:v>
      </x:c>
      <x:c r="N91" s="5" t="n">
        <x:f>ROUND(L91-M91,2)</x:f>
        <x:v>0</x:v>
      </x:c>
      <x:c r="O91" s="5" t="n">
        <x:f>ROUND(H91/Vehiculos!$G$4*60+G91*8,0)</x:f>
        <x:v>95</x:v>
      </x:c>
      <x:c r="P91" s="5" t="n">
        <x:f>MIN(O91,ROUND(I91/Vehiculos!$G$4*60+G91*8,0))</x:f>
        <x:v>95</x:v>
      </x:c>
      <x:c r="Q91" s="5" t="n">
        <x:f>O91-P91</x:f>
        <x:v>0</x:v>
      </x:c>
      <x:c r="R91" s="1" t="str">
        <x:v>P0178</x:v>
      </x:c>
      <x:c r="S91" s="1" t="str">
        <x:v>Jutiapa</x:v>
      </x:c>
      <x:c r="T91" s="1" t="n">
        <x:f>Parametros_Operacion!$B$5</x:f>
        <x:v>31.4</x:v>
      </x:c>
      <x:c r="U91" s="1" t="n">
        <x:v>5.24</x:v>
      </x:c>
      <x:c r="V91" s="1" t="n">
        <x:v>5.24</x:v>
      </x:c>
      <x:c r="W91" s="1" t="n">
        <x:f>T91</x:f>
        <x:v>31.4</x:v>
      </x:c>
    </x:row>
    <x:row r="92">
      <x:c r="A92" s="1" t="str">
        <x:v>RT-20260521-R004</x:v>
      </x:c>
      <x:c r="B92" s="1" t="str">
        <x:v>2026-05-21</x:v>
      </x:c>
      <x:c r="C92" s="1" t="str">
        <x:v>R004</x:v>
      </x:c>
      <x:c r="D92" s="1" t="str">
        <x:v>Daniela Cruz</x:v>
      </x:c>
      <x:c r="E92" s="1" t="str">
        <x:v>V004</x:v>
      </x:c>
      <x:c r="F92" s="1" t="str">
        <x:v>Pickup con carrocería</x:v>
      </x:c>
      <x:c r="G92" s="1" t="n">
        <x:v>3</x:v>
      </x:c>
      <x:c r="H92" s="5" t="n">
        <x:f>ROUND(2*T92+U92,2)</x:f>
        <x:v>99.72</x:v>
      </x:c>
      <x:c r="I92" s="5" t="n">
        <x:f>MIN(H92,ROUND(T92+V92+W92,2))</x:f>
        <x:v>99.63</x:v>
      </x:c>
      <x:c r="J92" s="5" t="n">
        <x:f>ROUND(H92-I92,2)</x:f>
        <x:v>0.09</x:v>
      </x:c>
      <x:c r="K92" s="5" t="n">
        <x:f>IF(H92=0,0,ROUND(100*J92/H92,2))</x:f>
        <x:v>0.09</x:v>
      </x:c>
      <x:c r="L92" s="5" t="n">
        <x:f>SUMIF(Pedidos!$L$2:$L$231,A92,Pedidos!$Q$2:$Q$231)</x:f>
        <x:v>362.08</x:v>
      </x:c>
      <x:c r="M92" s="5" t="n">
        <x:f>IF(J92=0,L92,MIN(L92,ROUND(I92/Vehiculos!$E$5*Vehiculos!$F$5,2)))</x:f>
        <x:v>361.75</x:v>
      </x:c>
      <x:c r="N92" s="5" t="n">
        <x:f>ROUND(L92-M92,2)</x:f>
        <x:v>0.33</x:v>
      </x:c>
      <x:c r="O92" s="5" t="n">
        <x:f>ROUND(H92/Vehiculos!$G$5*60+G92*8,0)</x:f>
        <x:v>146</x:v>
      </x:c>
      <x:c r="P92" s="5" t="n">
        <x:f>MIN(O92,ROUND(I92/Vehiculos!$G$5*60+G92*8,0))</x:f>
        <x:v>146</x:v>
      </x:c>
      <x:c r="Q92" s="5" t="n">
        <x:f>O92-P92</x:f>
        <x:v>0</x:v>
      </x:c>
      <x:c r="R92" s="1" t="str">
        <x:v>P0177 &gt; P0021 &gt; P0040</x:v>
      </x:c>
      <x:c r="S92" s="1" t="str">
        <x:v>La Masica</x:v>
      </x:c>
      <x:c r="T92" s="1" t="n">
        <x:f>Parametros_Operacion!$B$7</x:f>
        <x:v>41.2</x:v>
      </x:c>
      <x:c r="U92" s="1" t="n">
        <x:v>17.32</x:v>
      </x:c>
      <x:c r="V92" s="1" t="n">
        <x:v>17.23</x:v>
      </x:c>
      <x:c r="W92" s="1" t="n">
        <x:f>T92</x:f>
        <x:v>41.2</x:v>
      </x:c>
    </x:row>
    <x:row r="93">
      <x:c r="A93" s="1" t="str">
        <x:v>RT-20260521-R006</x:v>
      </x:c>
      <x:c r="B93" s="1" t="str">
        <x:v>2026-05-21</x:v>
      </x:c>
      <x:c r="C93" s="1" t="str">
        <x:v>R006</x:v>
      </x:c>
      <x:c r="D93" s="1" t="str">
        <x:v>Kevin Flores</x:v>
      </x:c>
      <x:c r="E93" s="1" t="str">
        <x:v>V006</x:v>
      </x:c>
      <x:c r="F93" s="1" t="str">
        <x:v>Pickup con carrocería</x:v>
      </x:c>
      <x:c r="G93" s="1" t="n">
        <x:v>1</x:v>
      </x:c>
      <x:c r="H93" s="5" t="n">
        <x:f>ROUND(2*T93+U93,2)</x:f>
        <x:v>154.12</x:v>
      </x:c>
      <x:c r="I93" s="5" t="n">
        <x:f>MIN(H93,ROUND(T93+V93+W93,2))</x:f>
        <x:v>154.12</x:v>
      </x:c>
      <x:c r="J93" s="5" t="n">
        <x:f>ROUND(H93-I93,2)</x:f>
        <x:v>0</x:v>
      </x:c>
      <x:c r="K93" s="5" t="n">
        <x:f>IF(H93=0,0,ROUND(100*J93/H93,2))</x:f>
        <x:v>0</x:v>
      </x:c>
      <x:c r="L93" s="5" t="n">
        <x:f>SUMIF(Pedidos!$L$2:$L$231,A93,Pedidos!$Q$2:$Q$231)</x:f>
        <x:v>587.59</x:v>
      </x:c>
      <x:c r="M93" s="5" t="n">
        <x:f>IF(J93=0,L93,MIN(L93,ROUND(I93/Vehiculos!$E$7*Vehiculos!$F$7,2)))</x:f>
        <x:v>587.59</x:v>
      </x:c>
      <x:c r="N93" s="5" t="n">
        <x:f>ROUND(L93-M93,2)</x:f>
        <x:v>0</x:v>
      </x:c>
      <x:c r="O93" s="5" t="n">
        <x:f>ROUND(H93/Vehiculos!$G$7*60+G93*8,0)</x:f>
        <x:v>205</x:v>
      </x:c>
      <x:c r="P93" s="5" t="n">
        <x:f>MIN(O93,ROUND(I93/Vehiculos!$G$7*60+G93*8,0))</x:f>
        <x:v>205</x:v>
      </x:c>
      <x:c r="Q93" s="5" t="n">
        <x:f>O93-P93</x:f>
        <x:v>0</x:v>
      </x:c>
      <x:c r="R93" s="1" t="str">
        <x:v>P0179</x:v>
      </x:c>
      <x:c r="S93" s="1" t="str">
        <x:v>Arizona</x:v>
      </x:c>
      <x:c r="T93" s="1" t="n">
        <x:f>Parametros_Operacion!$B$2</x:f>
        <x:v>72.5</x:v>
      </x:c>
      <x:c r="U93" s="1" t="n">
        <x:v>9.12</x:v>
      </x:c>
      <x:c r="V93" s="1" t="n">
        <x:v>9.12</x:v>
      </x:c>
      <x:c r="W93" s="1" t="n">
        <x:f>T93</x:f>
        <x:v>72.5</x:v>
      </x:c>
    </x:row>
    <x:row r="94">
      <x:c r="A94" s="1" t="str">
        <x:v>RT-20260521-R007</x:v>
      </x:c>
      <x:c r="B94" s="1" t="str">
        <x:v>2026-05-21</x:v>
      </x:c>
      <x:c r="C94" s="1" t="str">
        <x:v>R007</x:v>
      </x:c>
      <x:c r="D94" s="1" t="str">
        <x:v>María Hernández</x:v>
      </x:c>
      <x:c r="E94" s="1" t="str">
        <x:v>V007</x:v>
      </x:c>
      <x:c r="F94" s="1" t="str">
        <x:v>Pickup con carrocería</x:v>
      </x:c>
      <x:c r="G94" s="1" t="n">
        <x:v>2</x:v>
      </x:c>
      <x:c r="H94" s="5" t="n">
        <x:f>ROUND(2*T94+U94,2)</x:f>
        <x:v>160.86</x:v>
      </x:c>
      <x:c r="I94" s="5" t="n">
        <x:f>MIN(H94,ROUND(T94+V94+W94,2))</x:f>
        <x:v>160.86</x:v>
      </x:c>
      <x:c r="J94" s="5" t="n">
        <x:f>ROUND(H94-I94,2)</x:f>
        <x:v>0</x:v>
      </x:c>
      <x:c r="K94" s="5" t="n">
        <x:f>IF(H94=0,0,ROUND(100*J94/H94,2))</x:f>
        <x:v>0</x:v>
      </x:c>
      <x:c r="L94" s="5" t="n">
        <x:f>SUMIF(Pedidos!$L$2:$L$231,A94,Pedidos!$Q$2:$Q$231)</x:f>
        <x:v>613.28</x:v>
      </x:c>
      <x:c r="M94" s="5" t="n">
        <x:f>IF(J94=0,L94,MIN(L94,ROUND(I94/Vehiculos!$E$8*Vehiculos!$F$8,2)))</x:f>
        <x:v>613.28</x:v>
      </x:c>
      <x:c r="N94" s="5" t="n">
        <x:f>ROUND(L94-M94,2)</x:f>
        <x:v>0</x:v>
      </x:c>
      <x:c r="O94" s="5" t="n">
        <x:f>ROUND(H94/Vehiculos!$G$8*60+G94*8,0)</x:f>
        <x:v>226</x:v>
      </x:c>
      <x:c r="P94" s="5" t="n">
        <x:f>MIN(O94,ROUND(I94/Vehiculos!$G$8*60+G94*8,0))</x:f>
        <x:v>226</x:v>
      </x:c>
      <x:c r="Q94" s="5" t="n">
        <x:f>O94-P94</x:f>
        <x:v>0</x:v>
      </x:c>
      <x:c r="R94" s="1" t="str">
        <x:v>P0158 &gt; P0138</x:v>
      </x:c>
      <x:c r="S94" s="1" t="str">
        <x:v>Esparta</x:v>
      </x:c>
      <x:c r="T94" s="1" t="n">
        <x:f>Parametros_Operacion!$B$4</x:f>
        <x:v>75.5</x:v>
      </x:c>
      <x:c r="U94" s="1" t="n">
        <x:v>9.86</x:v>
      </x:c>
      <x:c r="V94" s="1" t="n">
        <x:v>9.86</x:v>
      </x:c>
      <x:c r="W94" s="1" t="n">
        <x:f>T94</x:f>
        <x:v>75.5</x:v>
      </x:c>
    </x:row>
    <x:row r="95">
      <x:c r="A95" s="1" t="str">
        <x:v>RT-20260522-R002</x:v>
      </x:c>
      <x:c r="B95" s="1" t="str">
        <x:v>2026-05-22</x:v>
      </x:c>
      <x:c r="C95" s="1" t="str">
        <x:v>R002</x:v>
      </x:c>
      <x:c r="D95" s="1" t="str">
        <x:v>Ana López</x:v>
      </x:c>
      <x:c r="E95" s="1" t="str">
        <x:v>V002</x:v>
      </x:c>
      <x:c r="F95" s="1" t="str">
        <x:v>Pickup con carrocería</x:v>
      </x:c>
      <x:c r="G95" s="1" t="n">
        <x:v>2</x:v>
      </x:c>
      <x:c r="H95" s="5" t="n">
        <x:f>ROUND(2*T95+U95,2)</x:f>
        <x:v>218.88</x:v>
      </x:c>
      <x:c r="I95" s="5" t="n">
        <x:f>MIN(H95,ROUND(T95+V95+W95,2))</x:f>
        <x:v>218.88</x:v>
      </x:c>
      <x:c r="J95" s="5" t="n">
        <x:f>ROUND(H95-I95,2)</x:f>
        <x:v>0</x:v>
      </x:c>
      <x:c r="K95" s="5" t="n">
        <x:f>IF(H95=0,0,ROUND(100*J95/H95,2))</x:f>
        <x:v>0</x:v>
      </x:c>
      <x:c r="L95" s="5" t="n">
        <x:f>SUMIF(Pedidos!$L$2:$L$231,A95,Pedidos!$Q$2:$Q$231)</x:f>
        <x:v>794.75</x:v>
      </x:c>
      <x:c r="M95" s="5" t="n">
        <x:f>IF(J95=0,L95,MIN(L95,ROUND(I95/Vehiculos!$E$3*Vehiculos!$F$3,2)))</x:f>
        <x:v>794.75</x:v>
      </x:c>
      <x:c r="N95" s="5" t="n">
        <x:f>ROUND(L95-M95,2)</x:f>
        <x:v>0</x:v>
      </x:c>
      <x:c r="O95" s="5" t="n">
        <x:f>ROUND(H95/Vehiculos!$G$3*60+G95*8,0)</x:f>
        <x:v>290</x:v>
      </x:c>
      <x:c r="P95" s="5" t="n">
        <x:f>MIN(O95,ROUND(I95/Vehiculos!$G$3*60+G95*8,0))</x:f>
        <x:v>290</x:v>
      </x:c>
      <x:c r="Q95" s="5" t="n">
        <x:f>O95-P95</x:f>
        <x:v>0</x:v>
      </x:c>
      <x:c r="R95" s="1" t="str">
        <x:v>P0149 &gt; P0182</x:v>
      </x:c>
      <x:c r="S95" s="1" t="str">
        <x:v>Tela</x:v>
      </x:c>
      <x:c r="T95" s="1" t="n">
        <x:f>Parametros_Operacion!$B$9</x:f>
        <x:v>102.3</x:v>
      </x:c>
      <x:c r="U95" s="1" t="n">
        <x:v>14.28</x:v>
      </x:c>
      <x:c r="V95" s="1" t="n">
        <x:v>14.28</x:v>
      </x:c>
      <x:c r="W95" s="1" t="n">
        <x:f>T95</x:f>
        <x:v>102.3</x:v>
      </x:c>
    </x:row>
    <x:row r="96">
      <x:c r="A96" s="1" t="str">
        <x:v>RT-20260522-R004</x:v>
      </x:c>
      <x:c r="B96" s="1" t="str">
        <x:v>2026-05-22</x:v>
      </x:c>
      <x:c r="C96" s="1" t="str">
        <x:v>R004</x:v>
      </x:c>
      <x:c r="D96" s="1" t="str">
        <x:v>Daniela Cruz</x:v>
      </x:c>
      <x:c r="E96" s="1" t="str">
        <x:v>V004</x:v>
      </x:c>
      <x:c r="F96" s="1" t="str">
        <x:v>Pickup con carrocería</x:v>
      </x:c>
      <x:c r="G96" s="1" t="n">
        <x:v>1</x:v>
      </x:c>
      <x:c r="H96" s="5" t="n">
        <x:f>ROUND(2*T96+U96,2)</x:f>
        <x:v>91.56</x:v>
      </x:c>
      <x:c r="I96" s="5" t="n">
        <x:f>MIN(H96,ROUND(T96+V96+W96,2))</x:f>
        <x:v>91.56</x:v>
      </x:c>
      <x:c r="J96" s="5" t="n">
        <x:f>ROUND(H96-I96,2)</x:f>
        <x:v>0</x:v>
      </x:c>
      <x:c r="K96" s="5" t="n">
        <x:f>IF(H96=0,0,ROUND(100*J96/H96,2))</x:f>
        <x:v>0</x:v>
      </x:c>
      <x:c r="L96" s="5" t="n">
        <x:f>SUMIF(Pedidos!$L$2:$L$231,A96,Pedidos!$Q$2:$Q$231)</x:f>
        <x:v>332.45</x:v>
      </x:c>
      <x:c r="M96" s="5" t="n">
        <x:f>IF(J96=0,L96,MIN(L96,ROUND(I96/Vehiculos!$E$5*Vehiculos!$F$5,2)))</x:f>
        <x:v>332.45</x:v>
      </x:c>
      <x:c r="N96" s="5" t="n">
        <x:f>ROUND(L96-M96,2)</x:f>
        <x:v>0</x:v>
      </x:c>
      <x:c r="O96" s="5" t="n">
        <x:f>ROUND(H96/Vehiculos!$G$5*60+G96*8,0)</x:f>
        <x:v>120</x:v>
      </x:c>
      <x:c r="P96" s="5" t="n">
        <x:f>MIN(O96,ROUND(I96/Vehiculos!$G$5*60+G96*8,0))</x:f>
        <x:v>120</x:v>
      </x:c>
      <x:c r="Q96" s="5" t="n">
        <x:f>O96-P96</x:f>
        <x:v>0</x:v>
      </x:c>
      <x:c r="R96" s="1" t="str">
        <x:v>P0185</x:v>
      </x:c>
      <x:c r="S96" s="1" t="str">
        <x:v>La Masica</x:v>
      </x:c>
      <x:c r="T96" s="1" t="n">
        <x:f>Parametros_Operacion!$B$7</x:f>
        <x:v>41.2</x:v>
      </x:c>
      <x:c r="U96" s="1" t="n">
        <x:v>9.16</x:v>
      </x:c>
      <x:c r="V96" s="1" t="n">
        <x:v>9.16</x:v>
      </x:c>
      <x:c r="W96" s="1" t="n">
        <x:f>T96</x:f>
        <x:v>41.2</x:v>
      </x:c>
    </x:row>
    <x:row r="97">
      <x:c r="A97" s="1" t="str">
        <x:v>RT-20260522-R006</x:v>
      </x:c>
      <x:c r="B97" s="1" t="str">
        <x:v>2026-05-22</x:v>
      </x:c>
      <x:c r="C97" s="1" t="str">
        <x:v>R006</x:v>
      </x:c>
      <x:c r="D97" s="1" t="str">
        <x:v>Kevin Flores</x:v>
      </x:c>
      <x:c r="E97" s="1" t="str">
        <x:v>V006</x:v>
      </x:c>
      <x:c r="F97" s="1" t="str">
        <x:v>Pickup con carrocería</x:v>
      </x:c>
      <x:c r="G97" s="1" t="n">
        <x:v>2</x:v>
      </x:c>
      <x:c r="H97" s="5" t="n">
        <x:f>ROUND(2*T97+U97,2)</x:f>
        <x:v>149.75</x:v>
      </x:c>
      <x:c r="I97" s="5" t="n">
        <x:f>MIN(H97,ROUND(T97+V97+W97,2))</x:f>
        <x:v>149.75</x:v>
      </x:c>
      <x:c r="J97" s="5" t="n">
        <x:f>ROUND(H97-I97,2)</x:f>
        <x:v>0</x:v>
      </x:c>
      <x:c r="K97" s="5" t="n">
        <x:f>IF(H97=0,0,ROUND(100*J97/H97,2))</x:f>
        <x:v>0</x:v>
      </x:c>
      <x:c r="L97" s="5" t="n">
        <x:f>SUMIF(Pedidos!$L$2:$L$231,A97,Pedidos!$Q$2:$Q$231)</x:f>
        <x:v>570.9300000000001</x:v>
      </x:c>
      <x:c r="M97" s="5" t="n">
        <x:f>IF(J97=0,L97,MIN(L97,ROUND(I97/Vehiculos!$E$7*Vehiculos!$F$7,2)))</x:f>
        <x:v>570.9300000000001</x:v>
      </x:c>
      <x:c r="N97" s="5" t="n">
        <x:f>ROUND(L97-M97,2)</x:f>
        <x:v>0</x:v>
      </x:c>
      <x:c r="O97" s="5" t="n">
        <x:f>ROUND(H97/Vehiculos!$G$7*60+G97*8,0)</x:f>
        <x:v>207</x:v>
      </x:c>
      <x:c r="P97" s="5" t="n">
        <x:f>MIN(O97,ROUND(I97/Vehiculos!$G$7*60+G97*8,0))</x:f>
        <x:v>207</x:v>
      </x:c>
      <x:c r="Q97" s="5" t="n">
        <x:f>O97-P97</x:f>
        <x:v>0</x:v>
      </x:c>
      <x:c r="R97" s="1" t="str">
        <x:v>P0130 &gt; P0183</x:v>
      </x:c>
      <x:c r="S97" s="1" t="str">
        <x:v>Arizona</x:v>
      </x:c>
      <x:c r="T97" s="1" t="n">
        <x:f>Parametros_Operacion!$B$2</x:f>
        <x:v>72.5</x:v>
      </x:c>
      <x:c r="U97" s="1" t="n">
        <x:v>4.75</x:v>
      </x:c>
      <x:c r="V97" s="1" t="n">
        <x:v>4.75</x:v>
      </x:c>
      <x:c r="W97" s="1" t="n">
        <x:f>T97</x:f>
        <x:v>72.5</x:v>
      </x:c>
    </x:row>
    <x:row r="98">
      <x:c r="A98" s="1" t="str">
        <x:v>RT-20260523-R001</x:v>
      </x:c>
      <x:c r="B98" s="1" t="str">
        <x:v>2026-05-23</x:v>
      </x:c>
      <x:c r="C98" s="1" t="str">
        <x:v>R001</x:v>
      </x:c>
      <x:c r="D98" s="1" t="str">
        <x:v>Carlos Mejía</x:v>
      </x:c>
      <x:c r="E98" s="1" t="str">
        <x:v>V001</x:v>
      </x:c>
      <x:c r="F98" s="1" t="str">
        <x:v>Pickup con carrocería</x:v>
      </x:c>
      <x:c r="G98" s="1" t="n">
        <x:v>2</x:v>
      </x:c>
      <x:c r="H98" s="5" t="n">
        <x:f>ROUND(2*T98+U98,2)</x:f>
        <x:v>18.41</x:v>
      </x:c>
      <x:c r="I98" s="5" t="n">
        <x:f>MIN(H98,ROUND(T98+V98+W98,2))</x:f>
        <x:v>18.41</x:v>
      </x:c>
      <x:c r="J98" s="5" t="n">
        <x:f>ROUND(H98-I98,2)</x:f>
        <x:v>0</x:v>
      </x:c>
      <x:c r="K98" s="5" t="n">
        <x:f>IF(H98=0,0,ROUND(100*J98/H98,2))</x:f>
        <x:v>0</x:v>
      </x:c>
      <x:c r="L98" s="5" t="n">
        <x:f>SUMIF(Pedidos!$L$2:$L$231,A98,Pedidos!$Q$2:$Q$231)</x:f>
        <x:v>63.81</x:v>
      </x:c>
      <x:c r="M98" s="5" t="n">
        <x:f>IF(J98=0,L98,MIN(L98,ROUND(I98/Vehiculos!$E$2*Vehiculos!$F$2,2)))</x:f>
        <x:v>63.81</x:v>
      </x:c>
      <x:c r="N98" s="5" t="n">
        <x:f>ROUND(L98-M98,2)</x:f>
        <x:v>0</x:v>
      </x:c>
      <x:c r="O98" s="5" t="n">
        <x:f>ROUND(H98/Vehiculos!$G$2*60+G98*8,0)</x:f>
        <x:v>38</x:v>
      </x:c>
      <x:c r="P98" s="5" t="n">
        <x:f>MIN(O98,ROUND(I98/Vehiculos!$G$2*60+G98*8,0))</x:f>
        <x:v>38</x:v>
      </x:c>
      <x:c r="Q98" s="5" t="n">
        <x:f>O98-P98</x:f>
        <x:v>0</x:v>
      </x:c>
      <x:c r="R98" s="1" t="str">
        <x:v>P0162 &gt; P0190</x:v>
      </x:c>
      <x:c r="S98" s="1" t="str">
        <x:v>La Ceiba</x:v>
      </x:c>
      <x:c r="T98" s="1" t="n">
        <x:f>Parametros_Operacion!$B$6</x:f>
        <x:v>0</x:v>
      </x:c>
      <x:c r="U98" s="1" t="n">
        <x:v>18.41</x:v>
      </x:c>
      <x:c r="V98" s="1" t="n">
        <x:v>18.41</x:v>
      </x:c>
      <x:c r="W98" s="1" t="n">
        <x:f>T98</x:f>
        <x:v>0</x:v>
      </x:c>
    </x:row>
    <x:row r="99">
      <x:c r="A99" s="1" t="str">
        <x:v>RT-20260523-R004</x:v>
      </x:c>
      <x:c r="B99" s="1" t="str">
        <x:v>2026-05-23</x:v>
      </x:c>
      <x:c r="C99" s="1" t="str">
        <x:v>R004</x:v>
      </x:c>
      <x:c r="D99" s="1" t="str">
        <x:v>Daniela Cruz</x:v>
      </x:c>
      <x:c r="E99" s="1" t="str">
        <x:v>V004</x:v>
      </x:c>
      <x:c r="F99" s="1" t="str">
        <x:v>Pickup con carrocería</x:v>
      </x:c>
      <x:c r="G99" s="1" t="n">
        <x:v>3</x:v>
      </x:c>
      <x:c r="H99" s="5" t="n">
        <x:f>ROUND(2*T99+U99,2)</x:f>
        <x:v>94.12</x:v>
      </x:c>
      <x:c r="I99" s="5" t="n">
        <x:f>MIN(H99,ROUND(T99+V99+W99,2))</x:f>
        <x:v>92.05</x:v>
      </x:c>
      <x:c r="J99" s="5" t="n">
        <x:f>ROUND(H99-I99,2)</x:f>
        <x:v>2.07</x:v>
      </x:c>
      <x:c r="K99" s="5" t="n">
        <x:f>IF(H99=0,0,ROUND(100*J99/H99,2))</x:f>
        <x:v>2.2</x:v>
      </x:c>
      <x:c r="L99" s="5" t="n">
        <x:f>SUMIF(Pedidos!$L$2:$L$231,A99,Pedidos!$Q$2:$Q$231)</x:f>
        <x:v>341.75</x:v>
      </x:c>
      <x:c r="M99" s="5" t="n">
        <x:f>IF(J99=0,L99,MIN(L99,ROUND(I99/Vehiculos!$E$5*Vehiculos!$F$5,2)))</x:f>
        <x:v>334.23</x:v>
      </x:c>
      <x:c r="N99" s="5" t="n">
        <x:f>ROUND(L99-M99,2)</x:f>
        <x:v>7.52</x:v>
      </x:c>
      <x:c r="O99" s="5" t="n">
        <x:f>ROUND(H99/Vehiculos!$G$5*60+G99*8,0)</x:f>
        <x:v>139</x:v>
      </x:c>
      <x:c r="P99" s="5" t="n">
        <x:f>MIN(O99,ROUND(I99/Vehiculos!$G$5*60+G99*8,0))</x:f>
        <x:v>137</x:v>
      </x:c>
      <x:c r="Q99" s="5" t="n">
        <x:f>O99-P99</x:f>
        <x:v>2</x:v>
      </x:c>
      <x:c r="R99" s="1" t="str">
        <x:v>P0148 &gt; P0120 &gt; P0165</x:v>
      </x:c>
      <x:c r="S99" s="1" t="str">
        <x:v>La Masica</x:v>
      </x:c>
      <x:c r="T99" s="1" t="n">
        <x:f>Parametros_Operacion!$B$7</x:f>
        <x:v>41.2</x:v>
      </x:c>
      <x:c r="U99" s="1" t="n">
        <x:v>11.72</x:v>
      </x:c>
      <x:c r="V99" s="1" t="n">
        <x:v>9.65</x:v>
      </x:c>
      <x:c r="W99" s="1" t="n">
        <x:f>T99</x:f>
        <x:v>41.2</x:v>
      </x:c>
    </x:row>
    <x:row r="100">
      <x:c r="A100" s="1" t="str">
        <x:v>RT-20260523-R005</x:v>
      </x:c>
      <x:c r="B100" s="1" t="str">
        <x:v>2026-05-23</x:v>
      </x:c>
      <x:c r="C100" s="1" t="str">
        <x:v>R005</x:v>
      </x:c>
      <x:c r="D100" s="1" t="str">
        <x:v>José Martínez</x:v>
      </x:c>
      <x:c r="E100" s="1" t="str">
        <x:v>V005</x:v>
      </x:c>
      <x:c r="F100" s="1" t="str">
        <x:v>Camión pequeño</x:v>
      </x:c>
      <x:c r="G100" s="1" t="n">
        <x:v>1</x:v>
      </x:c>
      <x:c r="H100" s="5" t="n">
        <x:f>ROUND(2*T100+U100,2)</x:f>
        <x:v>73.78</x:v>
      </x:c>
      <x:c r="I100" s="5" t="n">
        <x:f>MIN(H100,ROUND(T100+V100+W100,2))</x:f>
        <x:v>73.78</x:v>
      </x:c>
      <x:c r="J100" s="5" t="n">
        <x:f>ROUND(H100-I100,2)</x:f>
        <x:v>0</x:v>
      </x:c>
      <x:c r="K100" s="5" t="n">
        <x:f>IF(H100=0,0,ROUND(100*J100/H100,2))</x:f>
        <x:v>0</x:v>
      </x:c>
      <x:c r="L100" s="5" t="n">
        <x:f>SUMIF(Pedidos!$L$2:$L$231,A100,Pedidos!$Q$2:$Q$231)</x:f>
        <x:v>351.61</x:v>
      </x:c>
      <x:c r="M100" s="5" t="n">
        <x:f>IF(J100=0,L100,MIN(L100,ROUND(I100/Vehiculos!$E$6*Vehiculos!$F$6,2)))</x:f>
        <x:v>351.61</x:v>
      </x:c>
      <x:c r="N100" s="5" t="n">
        <x:f>ROUND(L100-M100,2)</x:f>
        <x:v>0</x:v>
      </x:c>
      <x:c r="O100" s="5" t="n">
        <x:f>ROUND(H100/Vehiculos!$G$6*60+G100*8,0)</x:f>
        <x:v>111</x:v>
      </x:c>
      <x:c r="P100" s="5" t="n">
        <x:f>MIN(O100,ROUND(I100/Vehiculos!$G$6*60+G100*8,0))</x:f>
        <x:v>111</x:v>
      </x:c>
      <x:c r="Q100" s="5" t="n">
        <x:f>O100-P100</x:f>
        <x:v>0</x:v>
      </x:c>
      <x:c r="R100" s="1" t="str">
        <x:v>P0181</x:v>
      </x:c>
      <x:c r="S100" s="1" t="str">
        <x:v>San Francisco</x:v>
      </x:c>
      <x:c r="T100" s="1" t="n">
        <x:f>Parametros_Operacion!$B$8</x:f>
        <x:v>35</x:v>
      </x:c>
      <x:c r="U100" s="1" t="n">
        <x:v>3.78</x:v>
      </x:c>
      <x:c r="V100" s="1" t="n">
        <x:v>3.78</x:v>
      </x:c>
      <x:c r="W100" s="1" t="n">
        <x:f>T100</x:f>
        <x:v>35</x:v>
      </x:c>
    </x:row>
    <x:row r="101">
      <x:c r="A101" s="1" t="str">
        <x:v>RT-20260523-R006</x:v>
      </x:c>
      <x:c r="B101" s="1" t="str">
        <x:v>2026-05-23</x:v>
      </x:c>
      <x:c r="C101" s="1" t="str">
        <x:v>R006</x:v>
      </x:c>
      <x:c r="D101" s="1" t="str">
        <x:v>Kevin Flores</x:v>
      </x:c>
      <x:c r="E101" s="1" t="str">
        <x:v>V006</x:v>
      </x:c>
      <x:c r="F101" s="1" t="str">
        <x:v>Pickup con carrocería</x:v>
      </x:c>
      <x:c r="G101" s="1" t="n">
        <x:v>3</x:v>
      </x:c>
      <x:c r="H101" s="5" t="n">
        <x:f>ROUND(2*T101+U101,2)</x:f>
        <x:v>169.28</x:v>
      </x:c>
      <x:c r="I101" s="5" t="n">
        <x:f>MIN(H101,ROUND(T101+V101+W101,2))</x:f>
        <x:v>167.88</x:v>
      </x:c>
      <x:c r="J101" s="5" t="n">
        <x:f>ROUND(H101-I101,2)</x:f>
        <x:v>1.4</x:v>
      </x:c>
      <x:c r="K101" s="5" t="n">
        <x:f>IF(H101=0,0,ROUND(100*J101/H101,2))</x:f>
        <x:v>0.83</x:v>
      </x:c>
      <x:c r="L101" s="5" t="n">
        <x:f>SUMIF(Pedidos!$L$2:$L$231,A101,Pedidos!$Q$2:$Q$231)</x:f>
        <x:v>645.39</x:v>
      </x:c>
      <x:c r="M101" s="5" t="n">
        <x:f>IF(J101=0,L101,MIN(L101,ROUND(I101/Vehiculos!$E$7*Vehiculos!$F$7,2)))</x:f>
        <x:v>640.05</x:v>
      </x:c>
      <x:c r="N101" s="5" t="n">
        <x:f>ROUND(L101-M101,2)</x:f>
        <x:v>5.34</x:v>
      </x:c>
      <x:c r="O101" s="5" t="n">
        <x:f>ROUND(H101/Vehiculos!$G$7*60+G101*8,0)</x:f>
        <x:v>240</x:v>
      </x:c>
      <x:c r="P101" s="5" t="n">
        <x:f>MIN(O101,ROUND(I101/Vehiculos!$G$7*60+G101*8,0))</x:f>
        <x:v>238</x:v>
      </x:c>
      <x:c r="Q101" s="5" t="n">
        <x:f>O101-P101</x:f>
        <x:v>2</x:v>
      </x:c>
      <x:c r="R101" s="1" t="str">
        <x:v>P0174 &gt; P0058 &gt; P0187</x:v>
      </x:c>
      <x:c r="S101" s="1" t="str">
        <x:v>Arizona</x:v>
      </x:c>
      <x:c r="T101" s="1" t="n">
        <x:f>Parametros_Operacion!$B$2</x:f>
        <x:v>72.5</x:v>
      </x:c>
      <x:c r="U101" s="1" t="n">
        <x:v>24.28</x:v>
      </x:c>
      <x:c r="V101" s="1" t="n">
        <x:v>22.88</x:v>
      </x:c>
      <x:c r="W101" s="1" t="n">
        <x:f>T101</x:f>
        <x:v>72.5</x:v>
      </x:c>
    </x:row>
    <x:row r="102">
      <x:c r="A102" s="1" t="str">
        <x:v>RT-20260523-R007</x:v>
      </x:c>
      <x:c r="B102" s="1" t="str">
        <x:v>2026-05-23</x:v>
      </x:c>
      <x:c r="C102" s="1" t="str">
        <x:v>R007</x:v>
      </x:c>
      <x:c r="D102" s="1" t="str">
        <x:v>María Hernández</x:v>
      </x:c>
      <x:c r="E102" s="1" t="str">
        <x:v>V007</x:v>
      </x:c>
      <x:c r="F102" s="1" t="str">
        <x:v>Pickup con carrocería</x:v>
      </x:c>
      <x:c r="G102" s="1" t="n">
        <x:v>1</x:v>
      </x:c>
      <x:c r="H102" s="5" t="n">
        <x:f>ROUND(2*T102+U102,2)</x:f>
        <x:v>157.58</x:v>
      </x:c>
      <x:c r="I102" s="5" t="n">
        <x:f>MIN(H102,ROUND(T102+V102+W102,2))</x:f>
        <x:v>157.58</x:v>
      </x:c>
      <x:c r="J102" s="5" t="n">
        <x:f>ROUND(H102-I102,2)</x:f>
        <x:v>0</x:v>
      </x:c>
      <x:c r="K102" s="5" t="n">
        <x:f>IF(H102=0,0,ROUND(100*J102/H102,2))</x:f>
        <x:v>0</x:v>
      </x:c>
      <x:c r="L102" s="5" t="n">
        <x:f>SUMIF(Pedidos!$L$2:$L$231,A102,Pedidos!$Q$2:$Q$231)</x:f>
        <x:v>600.78</x:v>
      </x:c>
      <x:c r="M102" s="5" t="n">
        <x:f>IF(J102=0,L102,MIN(L102,ROUND(I102/Vehiculos!$E$8*Vehiculos!$F$8,2)))</x:f>
        <x:v>600.78</x:v>
      </x:c>
      <x:c r="N102" s="5" t="n">
        <x:f>ROUND(L102-M102,2)</x:f>
        <x:v>0</x:v>
      </x:c>
      <x:c r="O102" s="5" t="n">
        <x:f>ROUND(H102/Vehiculos!$G$8*60+G102*8,0)</x:f>
        <x:v>214</x:v>
      </x:c>
      <x:c r="P102" s="5" t="n">
        <x:f>MIN(O102,ROUND(I102/Vehiculos!$G$8*60+G102*8,0))</x:f>
        <x:v>214</x:v>
      </x:c>
      <x:c r="Q102" s="5" t="n">
        <x:f>O102-P102</x:f>
        <x:v>0</x:v>
      </x:c>
      <x:c r="R102" s="1" t="str">
        <x:v>P0189</x:v>
      </x:c>
      <x:c r="S102" s="1" t="str">
        <x:v>Esparta</x:v>
      </x:c>
      <x:c r="T102" s="1" t="n">
        <x:f>Parametros_Operacion!$B$4</x:f>
        <x:v>75.5</x:v>
      </x:c>
      <x:c r="U102" s="1" t="n">
        <x:v>6.58</x:v>
      </x:c>
      <x:c r="V102" s="1" t="n">
        <x:v>6.58</x:v>
      </x:c>
      <x:c r="W102" s="1" t="n">
        <x:f>T102</x:f>
        <x:v>75.5</x:v>
      </x:c>
    </x:row>
    <x:row r="103">
      <x:c r="A103" s="1" t="str">
        <x:v>RT-20260524-R001</x:v>
      </x:c>
      <x:c r="B103" s="1" t="str">
        <x:v>2026-05-24</x:v>
      </x:c>
      <x:c r="C103" s="1" t="str">
        <x:v>R001</x:v>
      </x:c>
      <x:c r="D103" s="1" t="str">
        <x:v>Carlos Mejía</x:v>
      </x:c>
      <x:c r="E103" s="1" t="str">
        <x:v>V001</x:v>
      </x:c>
      <x:c r="F103" s="1" t="str">
        <x:v>Pickup con carrocería</x:v>
      </x:c>
      <x:c r="G103" s="1" t="n">
        <x:v>1</x:v>
      </x:c>
      <x:c r="H103" s="5" t="n">
        <x:f>ROUND(2*T103+U103,2)</x:f>
        <x:v>6.48</x:v>
      </x:c>
      <x:c r="I103" s="5" t="n">
        <x:f>MIN(H103,ROUND(T103+V103+W103,2))</x:f>
        <x:v>6.48</x:v>
      </x:c>
      <x:c r="J103" s="5" t="n">
        <x:f>ROUND(H103-I103,2)</x:f>
        <x:v>0</x:v>
      </x:c>
      <x:c r="K103" s="5" t="n">
        <x:f>IF(H103=0,0,ROUND(100*J103/H103,2))</x:f>
        <x:v>0</x:v>
      </x:c>
      <x:c r="L103" s="5" t="n">
        <x:f>SUMIF(Pedidos!$L$2:$L$231,A103,Pedidos!$Q$2:$Q$231)</x:f>
        <x:v>22.46</x:v>
      </x:c>
      <x:c r="M103" s="5" t="n">
        <x:f>IF(J103=0,L103,MIN(L103,ROUND(I103/Vehiculos!$E$2*Vehiculos!$F$2,2)))</x:f>
        <x:v>22.46</x:v>
      </x:c>
      <x:c r="N103" s="5" t="n">
        <x:f>ROUND(L103-M103,2)</x:f>
        <x:v>0</x:v>
      </x:c>
      <x:c r="O103" s="5" t="n">
        <x:f>ROUND(H103/Vehiculos!$G$2*60+G103*8,0)</x:f>
        <x:v>16</x:v>
      </x:c>
      <x:c r="P103" s="5" t="n">
        <x:f>MIN(O103,ROUND(I103/Vehiculos!$G$2*60+G103*8,0))</x:f>
        <x:v>16</x:v>
      </x:c>
      <x:c r="Q103" s="5" t="n">
        <x:f>O103-P103</x:f>
        <x:v>0</x:v>
      </x:c>
      <x:c r="R103" s="1" t="str">
        <x:v>P0026</x:v>
      </x:c>
      <x:c r="S103" s="1" t="str">
        <x:v>La Ceiba</x:v>
      </x:c>
      <x:c r="T103" s="1" t="n">
        <x:f>Parametros_Operacion!$B$6</x:f>
        <x:v>0</x:v>
      </x:c>
      <x:c r="U103" s="1" t="n">
        <x:v>6.48</x:v>
      </x:c>
      <x:c r="V103" s="1" t="n">
        <x:v>6.48</x:v>
      </x:c>
      <x:c r="W103" s="1" t="n">
        <x:f>T103</x:f>
        <x:v>0</x:v>
      </x:c>
    </x:row>
    <x:row r="104">
      <x:c r="A104" s="1" t="str">
        <x:v>RT-20260524-R002</x:v>
      </x:c>
      <x:c r="B104" s="1" t="str">
        <x:v>2026-05-24</x:v>
      </x:c>
      <x:c r="C104" s="1" t="str">
        <x:v>R002</x:v>
      </x:c>
      <x:c r="D104" s="1" t="str">
        <x:v>Ana López</x:v>
      </x:c>
      <x:c r="E104" s="1" t="str">
        <x:v>V002</x:v>
      </x:c>
      <x:c r="F104" s="1" t="str">
        <x:v>Pickup con carrocería</x:v>
      </x:c>
      <x:c r="G104" s="1" t="n">
        <x:v>2</x:v>
      </x:c>
      <x:c r="H104" s="5" t="n">
        <x:f>ROUND(2*T104+U104,2)</x:f>
        <x:v>217.91</x:v>
      </x:c>
      <x:c r="I104" s="5" t="n">
        <x:f>MIN(H104,ROUND(T104+V104+W104,2))</x:f>
        <x:v>217.91</x:v>
      </x:c>
      <x:c r="J104" s="5" t="n">
        <x:f>ROUND(H104-I104,2)</x:f>
        <x:v>0</x:v>
      </x:c>
      <x:c r="K104" s="5" t="n">
        <x:f>IF(H104=0,0,ROUND(100*J104/H104,2))</x:f>
        <x:v>0</x:v>
      </x:c>
      <x:c r="L104" s="5" t="n">
        <x:f>SUMIF(Pedidos!$L$2:$L$231,A104,Pedidos!$Q$2:$Q$231)</x:f>
        <x:v>791.23</x:v>
      </x:c>
      <x:c r="M104" s="5" t="n">
        <x:f>IF(J104=0,L104,MIN(L104,ROUND(I104/Vehiculos!$E$3*Vehiculos!$F$3,2)))</x:f>
        <x:v>791.23</x:v>
      </x:c>
      <x:c r="N104" s="5" t="n">
        <x:f>ROUND(L104-M104,2)</x:f>
        <x:v>0</x:v>
      </x:c>
      <x:c r="O104" s="5" t="n">
        <x:f>ROUND(H104/Vehiculos!$G$3*60+G104*8,0)</x:f>
        <x:v>288</x:v>
      </x:c>
      <x:c r="P104" s="5" t="n">
        <x:f>MIN(O104,ROUND(I104/Vehiculos!$G$3*60+G104*8,0))</x:f>
        <x:v>288</x:v>
      </x:c>
      <x:c r="Q104" s="5" t="n">
        <x:f>O104-P104</x:f>
        <x:v>0</x:v>
      </x:c>
      <x:c r="R104" s="1" t="str">
        <x:v>P0180 &gt; P0176</x:v>
      </x:c>
      <x:c r="S104" s="1" t="str">
        <x:v>Tela</x:v>
      </x:c>
      <x:c r="T104" s="1" t="n">
        <x:f>Parametros_Operacion!$B$9</x:f>
        <x:v>102.3</x:v>
      </x:c>
      <x:c r="U104" s="1" t="n">
        <x:v>13.31</x:v>
      </x:c>
      <x:c r="V104" s="1" t="n">
        <x:v>13.31</x:v>
      </x:c>
      <x:c r="W104" s="1" t="n">
        <x:f>T104</x:f>
        <x:v>102.3</x:v>
      </x:c>
    </x:row>
    <x:row r="105">
      <x:c r="A105" s="1" t="str">
        <x:v>RT-20260524-R005</x:v>
      </x:c>
      <x:c r="B105" s="1" t="str">
        <x:v>2026-05-24</x:v>
      </x:c>
      <x:c r="C105" s="1" t="str">
        <x:v>R005</x:v>
      </x:c>
      <x:c r="D105" s="1" t="str">
        <x:v>José Martínez</x:v>
      </x:c>
      <x:c r="E105" s="1" t="str">
        <x:v>V005</x:v>
      </x:c>
      <x:c r="F105" s="1" t="str">
        <x:v>Camión pequeño</x:v>
      </x:c>
      <x:c r="G105" s="1" t="n">
        <x:v>1</x:v>
      </x:c>
      <x:c r="H105" s="5" t="n">
        <x:f>ROUND(2*T105+U105,2)</x:f>
        <x:v>76.04</x:v>
      </x:c>
      <x:c r="I105" s="5" t="n">
        <x:f>MIN(H105,ROUND(T105+V105+W105,2))</x:f>
        <x:v>76.04</x:v>
      </x:c>
      <x:c r="J105" s="5" t="n">
        <x:f>ROUND(H105-I105,2)</x:f>
        <x:v>0</x:v>
      </x:c>
      <x:c r="K105" s="5" t="n">
        <x:f>IF(H105=0,0,ROUND(100*J105/H105,2))</x:f>
        <x:v>0</x:v>
      </x:c>
      <x:c r="L105" s="5" t="n">
        <x:f>SUMIF(Pedidos!$L$2:$L$231,A105,Pedidos!$Q$2:$Q$231)</x:f>
        <x:v>362.38</x:v>
      </x:c>
      <x:c r="M105" s="5" t="n">
        <x:f>IF(J105=0,L105,MIN(L105,ROUND(I105/Vehiculos!$E$6*Vehiculos!$F$6,2)))</x:f>
        <x:v>362.38</x:v>
      </x:c>
      <x:c r="N105" s="5" t="n">
        <x:f>ROUND(L105-M105,2)</x:f>
        <x:v>0</x:v>
      </x:c>
      <x:c r="O105" s="5" t="n">
        <x:f>ROUND(H105/Vehiculos!$G$6*60+G105*8,0)</x:f>
        <x:v>114</x:v>
      </x:c>
      <x:c r="P105" s="5" t="n">
        <x:f>MIN(O105,ROUND(I105/Vehiculos!$G$6*60+G105*8,0))</x:f>
        <x:v>114</x:v>
      </x:c>
      <x:c r="Q105" s="5" t="n">
        <x:f>O105-P105</x:f>
        <x:v>0</x:v>
      </x:c>
      <x:c r="R105" s="1" t="str">
        <x:v>P0166</x:v>
      </x:c>
      <x:c r="S105" s="1" t="str">
        <x:v>San Francisco</x:v>
      </x:c>
      <x:c r="T105" s="1" t="n">
        <x:f>Parametros_Operacion!$B$8</x:f>
        <x:v>35</x:v>
      </x:c>
      <x:c r="U105" s="1" t="n">
        <x:v>6.04</x:v>
      </x:c>
      <x:c r="V105" s="1" t="n">
        <x:v>6.04</x:v>
      </x:c>
      <x:c r="W105" s="1" t="n">
        <x:f>T105</x:f>
        <x:v>35</x:v>
      </x:c>
    </x:row>
    <x:row r="106">
      <x:c r="A106" s="1" t="str">
        <x:v>RT-20260524-R006</x:v>
      </x:c>
      <x:c r="B106" s="1" t="str">
        <x:v>2026-05-24</x:v>
      </x:c>
      <x:c r="C106" s="1" t="str">
        <x:v>R006</x:v>
      </x:c>
      <x:c r="D106" s="1" t="str">
        <x:v>Kevin Flores</x:v>
      </x:c>
      <x:c r="E106" s="1" t="str">
        <x:v>V006</x:v>
      </x:c>
      <x:c r="F106" s="1" t="str">
        <x:v>Pickup con carrocería</x:v>
      </x:c>
      <x:c r="G106" s="1" t="n">
        <x:v>2</x:v>
      </x:c>
      <x:c r="H106" s="5" t="n">
        <x:f>ROUND(2*T106+U106,2)</x:f>
        <x:v>155.49</x:v>
      </x:c>
      <x:c r="I106" s="5" t="n">
        <x:f>MIN(H106,ROUND(T106+V106+W106,2))</x:f>
        <x:v>155.49</x:v>
      </x:c>
      <x:c r="J106" s="5" t="n">
        <x:f>ROUND(H106-I106,2)</x:f>
        <x:v>0</x:v>
      </x:c>
      <x:c r="K106" s="5" t="n">
        <x:f>IF(H106=0,0,ROUND(100*J106/H106,2))</x:f>
        <x:v>0</x:v>
      </x:c>
      <x:c r="L106" s="5" t="n">
        <x:f>SUMIF(Pedidos!$L$2:$L$231,A106,Pedidos!$Q$2:$Q$231)</x:f>
        <x:v>592.81</x:v>
      </x:c>
      <x:c r="M106" s="5" t="n">
        <x:f>IF(J106=0,L106,MIN(L106,ROUND(I106/Vehiculos!$E$7*Vehiculos!$F$7,2)))</x:f>
        <x:v>592.81</x:v>
      </x:c>
      <x:c r="N106" s="5" t="n">
        <x:f>ROUND(L106-M106,2)</x:f>
        <x:v>0</x:v>
      </x:c>
      <x:c r="O106" s="5" t="n">
        <x:f>ROUND(H106/Vehiculos!$G$7*60+G106*8,0)</x:f>
        <x:v>214</x:v>
      </x:c>
      <x:c r="P106" s="5" t="n">
        <x:f>MIN(O106,ROUND(I106/Vehiculos!$G$7*60+G106*8,0))</x:f>
        <x:v>214</x:v>
      </x:c>
      <x:c r="Q106" s="5" t="n">
        <x:f>O106-P106</x:f>
        <x:v>0</x:v>
      </x:c>
      <x:c r="R106" s="1" t="str">
        <x:v>P0094 &gt; P0193</x:v>
      </x:c>
      <x:c r="S106" s="1" t="str">
        <x:v>Arizona</x:v>
      </x:c>
      <x:c r="T106" s="1" t="n">
        <x:f>Parametros_Operacion!$B$2</x:f>
        <x:v>72.5</x:v>
      </x:c>
      <x:c r="U106" s="1" t="n">
        <x:v>10.49</x:v>
      </x:c>
      <x:c r="V106" s="1" t="n">
        <x:v>10.49</x:v>
      </x:c>
      <x:c r="W106" s="1" t="n">
        <x:f>T106</x:f>
        <x:v>72.5</x:v>
      </x:c>
    </x:row>
    <x:row r="107">
      <x:c r="A107" s="1" t="str">
        <x:v>RT-20260525-R002</x:v>
      </x:c>
      <x:c r="B107" s="1" t="str">
        <x:v>2026-05-25</x:v>
      </x:c>
      <x:c r="C107" s="1" t="str">
        <x:v>R002</x:v>
      </x:c>
      <x:c r="D107" s="1" t="str">
        <x:v>Ana López</x:v>
      </x:c>
      <x:c r="E107" s="1" t="str">
        <x:v>V002</x:v>
      </x:c>
      <x:c r="F107" s="1" t="str">
        <x:v>Pickup con carrocería</x:v>
      </x:c>
      <x:c r="G107" s="1" t="n">
        <x:v>1</x:v>
      </x:c>
      <x:c r="H107" s="5" t="n">
        <x:f>ROUND(2*T107+U107,2)</x:f>
        <x:v>212.94</x:v>
      </x:c>
      <x:c r="I107" s="5" t="n">
        <x:f>MIN(H107,ROUND(T107+V107+W107,2))</x:f>
        <x:v>212.94</x:v>
      </x:c>
      <x:c r="J107" s="5" t="n">
        <x:f>ROUND(H107-I107,2)</x:f>
        <x:v>0</x:v>
      </x:c>
      <x:c r="K107" s="5" t="n">
        <x:f>IF(H107=0,0,ROUND(100*J107/H107,2))</x:f>
        <x:v>0</x:v>
      </x:c>
      <x:c r="L107" s="5" t="n">
        <x:f>SUMIF(Pedidos!$L$2:$L$231,A107,Pedidos!$Q$2:$Q$231)</x:f>
        <x:v>773.18</x:v>
      </x:c>
      <x:c r="M107" s="5" t="n">
        <x:f>IF(J107=0,L107,MIN(L107,ROUND(I107/Vehiculos!$E$3*Vehiculos!$F$3,2)))</x:f>
        <x:v>773.18</x:v>
      </x:c>
      <x:c r="N107" s="5" t="n">
        <x:f>ROUND(L107-M107,2)</x:f>
        <x:v>0</x:v>
      </x:c>
      <x:c r="O107" s="5" t="n">
        <x:f>ROUND(H107/Vehiculos!$G$3*60+G107*8,0)</x:f>
        <x:v>274</x:v>
      </x:c>
      <x:c r="P107" s="5" t="n">
        <x:f>MIN(O107,ROUND(I107/Vehiculos!$G$3*60+G107*8,0))</x:f>
        <x:v>274</x:v>
      </x:c>
      <x:c r="Q107" s="5" t="n">
        <x:f>O107-P107</x:f>
        <x:v>0</x:v>
      </x:c>
      <x:c r="R107" s="1" t="str">
        <x:v>P0198</x:v>
      </x:c>
      <x:c r="S107" s="1" t="str">
        <x:v>Tela</x:v>
      </x:c>
      <x:c r="T107" s="1" t="n">
        <x:f>Parametros_Operacion!$B$9</x:f>
        <x:v>102.3</x:v>
      </x:c>
      <x:c r="U107" s="1" t="n">
        <x:v>8.34</x:v>
      </x:c>
      <x:c r="V107" s="1" t="n">
        <x:v>8.34</x:v>
      </x:c>
      <x:c r="W107" s="1" t="n">
        <x:f>T107</x:f>
        <x:v>102.3</x:v>
      </x:c>
    </x:row>
    <x:row r="108">
      <x:c r="A108" s="1" t="str">
        <x:v>RT-20260525-R004</x:v>
      </x:c>
      <x:c r="B108" s="1" t="str">
        <x:v>2026-05-25</x:v>
      </x:c>
      <x:c r="C108" s="1" t="str">
        <x:v>R004</x:v>
      </x:c>
      <x:c r="D108" s="1" t="str">
        <x:v>Daniela Cruz</x:v>
      </x:c>
      <x:c r="E108" s="1" t="str">
        <x:v>V004</x:v>
      </x:c>
      <x:c r="F108" s="1" t="str">
        <x:v>Pickup con carrocería</x:v>
      </x:c>
      <x:c r="G108" s="1" t="n">
        <x:v>1</x:v>
      </x:c>
      <x:c r="H108" s="5" t="n">
        <x:f>ROUND(2*T108+U108,2)</x:f>
        <x:v>87.62</x:v>
      </x:c>
      <x:c r="I108" s="5" t="n">
        <x:f>MIN(H108,ROUND(T108+V108+W108,2))</x:f>
        <x:v>87.62</x:v>
      </x:c>
      <x:c r="J108" s="5" t="n">
        <x:f>ROUND(H108-I108,2)</x:f>
        <x:v>0</x:v>
      </x:c>
      <x:c r="K108" s="5" t="n">
        <x:f>IF(H108=0,0,ROUND(100*J108/H108,2))</x:f>
        <x:v>0</x:v>
      </x:c>
      <x:c r="L108" s="5" t="n">
        <x:f>SUMIF(Pedidos!$L$2:$L$231,A108,Pedidos!$Q$2:$Q$231)</x:f>
        <x:v>318.15</x:v>
      </x:c>
      <x:c r="M108" s="5" t="n">
        <x:f>IF(J108=0,L108,MIN(L108,ROUND(I108/Vehiculos!$E$5*Vehiculos!$F$5,2)))</x:f>
        <x:v>318.15</x:v>
      </x:c>
      <x:c r="N108" s="5" t="n">
        <x:f>ROUND(L108-M108,2)</x:f>
        <x:v>0</x:v>
      </x:c>
      <x:c r="O108" s="5" t="n">
        <x:f>ROUND(H108/Vehiculos!$G$5*60+G108*8,0)</x:f>
        <x:v>115</x:v>
      </x:c>
      <x:c r="P108" s="5" t="n">
        <x:f>MIN(O108,ROUND(I108/Vehiculos!$G$5*60+G108*8,0))</x:f>
        <x:v>115</x:v>
      </x:c>
      <x:c r="Q108" s="5" t="n">
        <x:f>O108-P108</x:f>
        <x:v>0</x:v>
      </x:c>
      <x:c r="R108" s="1" t="str">
        <x:v>P0196</x:v>
      </x:c>
      <x:c r="S108" s="1" t="str">
        <x:v>La Masica</x:v>
      </x:c>
      <x:c r="T108" s="1" t="n">
        <x:f>Parametros_Operacion!$B$7</x:f>
        <x:v>41.2</x:v>
      </x:c>
      <x:c r="U108" s="1" t="n">
        <x:v>5.22</x:v>
      </x:c>
      <x:c r="V108" s="1" t="n">
        <x:v>5.22</x:v>
      </x:c>
      <x:c r="W108" s="1" t="n">
        <x:f>T108</x:f>
        <x:v>41.2</x:v>
      </x:c>
    </x:row>
    <x:row r="109">
      <x:c r="A109" s="1" t="str">
        <x:v>RT-20260525-R007</x:v>
      </x:c>
      <x:c r="B109" s="1" t="str">
        <x:v>2026-05-25</x:v>
      </x:c>
      <x:c r="C109" s="1" t="str">
        <x:v>R007</x:v>
      </x:c>
      <x:c r="D109" s="1" t="str">
        <x:v>María Hernández</x:v>
      </x:c>
      <x:c r="E109" s="1" t="str">
        <x:v>V007</x:v>
      </x:c>
      <x:c r="F109" s="1" t="str">
        <x:v>Pickup con carrocería</x:v>
      </x:c>
      <x:c r="G109" s="1" t="n">
        <x:v>3</x:v>
      </x:c>
      <x:c r="H109" s="5" t="n">
        <x:f>ROUND(2*T109+U109,2)</x:f>
        <x:v>162.19</x:v>
      </x:c>
      <x:c r="I109" s="5" t="n">
        <x:f>MIN(H109,ROUND(T109+V109+W109,2))</x:f>
        <x:v>160.95</x:v>
      </x:c>
      <x:c r="J109" s="5" t="n">
        <x:f>ROUND(H109-I109,2)</x:f>
        <x:v>1.24</x:v>
      </x:c>
      <x:c r="K109" s="5" t="n">
        <x:f>IF(H109=0,0,ROUND(100*J109/H109,2))</x:f>
        <x:v>0.76</x:v>
      </x:c>
      <x:c r="L109" s="5" t="n">
        <x:f>SUMIF(Pedidos!$L$2:$L$231,A109,Pedidos!$Q$2:$Q$231)</x:f>
        <x:v>618.36</x:v>
      </x:c>
      <x:c r="M109" s="5" t="n">
        <x:f>IF(J109=0,L109,MIN(L109,ROUND(I109/Vehiculos!$E$8*Vehiculos!$F$8,2)))</x:f>
        <x:v>613.63</x:v>
      </x:c>
      <x:c r="N109" s="5" t="n">
        <x:f>ROUND(L109-M109,2)</x:f>
        <x:v>4.73</x:v>
      </x:c>
      <x:c r="O109" s="5" t="n">
        <x:f>ROUND(H109/Vehiculos!$G$8*60+G109*8,0)</x:f>
        <x:v>236</x:v>
      </x:c>
      <x:c r="P109" s="5" t="n">
        <x:f>MIN(O109,ROUND(I109/Vehiculos!$G$8*60+G109*8,0))</x:f>
        <x:v>234</x:v>
      </x:c>
      <x:c r="Q109" s="5" t="n">
        <x:f>O109-P109</x:f>
        <x:v>2</x:v>
      </x:c>
      <x:c r="R109" s="1" t="str">
        <x:v>P0142 &gt; P0199 &gt; P0186</x:v>
      </x:c>
      <x:c r="S109" s="1" t="str">
        <x:v>Esparta</x:v>
      </x:c>
      <x:c r="T109" s="1" t="n">
        <x:f>Parametros_Operacion!$B$4</x:f>
        <x:v>75.5</x:v>
      </x:c>
      <x:c r="U109" s="1" t="n">
        <x:v>11.19</x:v>
      </x:c>
      <x:c r="V109" s="1" t="n">
        <x:v>9.95</x:v>
      </x:c>
      <x:c r="W109" s="1" t="n">
        <x:f>T109</x:f>
        <x:v>75.5</x:v>
      </x:c>
    </x:row>
    <x:row r="110">
      <x:c r="A110" s="1" t="str">
        <x:v>RT-20260526-R001</x:v>
      </x:c>
      <x:c r="B110" s="1" t="str">
        <x:v>2026-05-26</x:v>
      </x:c>
      <x:c r="C110" s="1" t="str">
        <x:v>R001</x:v>
      </x:c>
      <x:c r="D110" s="1" t="str">
        <x:v>Carlos Mejía</x:v>
      </x:c>
      <x:c r="E110" s="1" t="str">
        <x:v>V001</x:v>
      </x:c>
      <x:c r="F110" s="1" t="str">
        <x:v>Pickup con carrocería</x:v>
      </x:c>
      <x:c r="G110" s="1" t="n">
        <x:v>3</x:v>
      </x:c>
      <x:c r="H110" s="5" t="n">
        <x:f>ROUND(2*T110+U110,2)</x:f>
        <x:v>23.25</x:v>
      </x:c>
      <x:c r="I110" s="5" t="n">
        <x:f>MIN(H110,ROUND(T110+V110+W110,2))</x:f>
        <x:v>22.08</x:v>
      </x:c>
      <x:c r="J110" s="5" t="n">
        <x:f>ROUND(H110-I110,2)</x:f>
        <x:v>1.17</x:v>
      </x:c>
      <x:c r="K110" s="5" t="n">
        <x:f>IF(H110=0,0,ROUND(100*J110/H110,2))</x:f>
        <x:v>5.03</x:v>
      </x:c>
      <x:c r="L110" s="5" t="n">
        <x:f>SUMIF(Pedidos!$L$2:$L$231,A110,Pedidos!$Q$2:$Q$231)</x:f>
        <x:v>80.57</x:v>
      </x:c>
      <x:c r="M110" s="5" t="n">
        <x:f>IF(J110=0,L110,MIN(L110,ROUND(I110/Vehiculos!$E$2*Vehiculos!$F$2,2)))</x:f>
        <x:v>76.53</x:v>
      </x:c>
      <x:c r="N110" s="5" t="n">
        <x:f>ROUND(L110-M110,2)</x:f>
        <x:v>4.04</x:v>
      </x:c>
      <x:c r="O110" s="5" t="n">
        <x:f>ROUND(H110/Vehiculos!$G$2*60+G110*8,0)</x:f>
        <x:v>52</x:v>
      </x:c>
      <x:c r="P110" s="5" t="n">
        <x:f>MIN(O110,ROUND(I110/Vehiculos!$G$2*60+G110*8,0))</x:f>
        <x:v>50</x:v>
      </x:c>
      <x:c r="Q110" s="5" t="n">
        <x:f>O110-P110</x:f>
        <x:v>2</x:v>
      </x:c>
      <x:c r="R110" s="1" t="str">
        <x:v>P0203 &gt; P0202 &gt; P0062</x:v>
      </x:c>
      <x:c r="S110" s="1" t="str">
        <x:v>La Ceiba</x:v>
      </x:c>
      <x:c r="T110" s="1" t="n">
        <x:f>Parametros_Operacion!$B$6</x:f>
        <x:v>0</x:v>
      </x:c>
      <x:c r="U110" s="1" t="n">
        <x:v>23.25</x:v>
      </x:c>
      <x:c r="V110" s="1" t="n">
        <x:v>22.08</x:v>
      </x:c>
      <x:c r="W110" s="1" t="n">
        <x:f>T110</x:f>
        <x:v>0</x:v>
      </x:c>
    </x:row>
    <x:row r="111">
      <x:c r="A111" s="1" t="str">
        <x:v>RT-20260526-R002</x:v>
      </x:c>
      <x:c r="B111" s="1" t="str">
        <x:v>2026-05-26</x:v>
      </x:c>
      <x:c r="C111" s="1" t="str">
        <x:v>R002</x:v>
      </x:c>
      <x:c r="D111" s="1" t="str">
        <x:v>Ana López</x:v>
      </x:c>
      <x:c r="E111" s="1" t="str">
        <x:v>V002</x:v>
      </x:c>
      <x:c r="F111" s="1" t="str">
        <x:v>Pickup con carrocería</x:v>
      </x:c>
      <x:c r="G111" s="1" t="n">
        <x:v>1</x:v>
      </x:c>
      <x:c r="H111" s="5" t="n">
        <x:f>ROUND(2*T111+U111,2)</x:f>
        <x:v>213.9</x:v>
      </x:c>
      <x:c r="I111" s="5" t="n">
        <x:f>MIN(H111,ROUND(T111+V111+W111,2))</x:f>
        <x:v>213.9</x:v>
      </x:c>
      <x:c r="J111" s="5" t="n">
        <x:f>ROUND(H111-I111,2)</x:f>
        <x:v>0</x:v>
      </x:c>
      <x:c r="K111" s="5" t="n">
        <x:f>IF(H111=0,0,ROUND(100*J111/H111,2))</x:f>
        <x:v>0</x:v>
      </x:c>
      <x:c r="L111" s="5" t="n">
        <x:f>SUMIF(Pedidos!$L$2:$L$231,A111,Pedidos!$Q$2:$Q$231)</x:f>
        <x:v>776.67</x:v>
      </x:c>
      <x:c r="M111" s="5" t="n">
        <x:f>IF(J111=0,L111,MIN(L111,ROUND(I111/Vehiculos!$E$3*Vehiculos!$F$3,2)))</x:f>
        <x:v>776.67</x:v>
      </x:c>
      <x:c r="N111" s="5" t="n">
        <x:f>ROUND(L111-M111,2)</x:f>
        <x:v>0</x:v>
      </x:c>
      <x:c r="O111" s="5" t="n">
        <x:f>ROUND(H111/Vehiculos!$G$3*60+G111*8,0)</x:f>
        <x:v>275</x:v>
      </x:c>
      <x:c r="P111" s="5" t="n">
        <x:f>MIN(O111,ROUND(I111/Vehiculos!$G$3*60+G111*8,0))</x:f>
        <x:v>275</x:v>
      </x:c>
      <x:c r="Q111" s="5" t="n">
        <x:f>O111-P111</x:f>
        <x:v>0</x:v>
      </x:c>
      <x:c r="R111" s="1" t="str">
        <x:v>P0164</x:v>
      </x:c>
      <x:c r="S111" s="1" t="str">
        <x:v>Tela</x:v>
      </x:c>
      <x:c r="T111" s="1" t="n">
        <x:f>Parametros_Operacion!$B$9</x:f>
        <x:v>102.3</x:v>
      </x:c>
      <x:c r="U111" s="1" t="n">
        <x:v>9.3</x:v>
      </x:c>
      <x:c r="V111" s="1" t="n">
        <x:v>9.3</x:v>
      </x:c>
      <x:c r="W111" s="1" t="n">
        <x:f>T111</x:f>
        <x:v>102.3</x:v>
      </x:c>
    </x:row>
    <x:row r="112">
      <x:c r="A112" s="1" t="str">
        <x:v>RT-20260526-R003</x:v>
      </x:c>
      <x:c r="B112" s="1" t="str">
        <x:v>2026-05-26</x:v>
      </x:c>
      <x:c r="C112" s="1" t="str">
        <x:v>R003</x:v>
      </x:c>
      <x:c r="D112" s="1" t="str">
        <x:v>Luis Ramírez</x:v>
      </x:c>
      <x:c r="E112" s="1" t="str">
        <x:v>V003</x:v>
      </x:c>
      <x:c r="F112" s="1" t="str">
        <x:v>Pickup con carrocería</x:v>
      </x:c>
      <x:c r="G112" s="1" t="n">
        <x:v>1</x:v>
      </x:c>
      <x:c r="H112" s="5" t="n">
        <x:f>ROUND(2*T112+U112,2)</x:f>
        <x:v>74.54</x:v>
      </x:c>
      <x:c r="I112" s="5" t="n">
        <x:f>MIN(H112,ROUND(T112+V112+W112,2))</x:f>
        <x:v>74.54</x:v>
      </x:c>
      <x:c r="J112" s="5" t="n">
        <x:f>ROUND(H112-I112,2)</x:f>
        <x:v>0</x:v>
      </x:c>
      <x:c r="K112" s="5" t="n">
        <x:f>IF(H112=0,0,ROUND(100*J112/H112,2))</x:f>
        <x:v>0</x:v>
      </x:c>
      <x:c r="L112" s="5" t="n">
        <x:f>SUMIF(Pedidos!$L$2:$L$231,A112,Pedidos!$Q$2:$Q$231)</x:f>
        <x:v>284.19</x:v>
      </x:c>
      <x:c r="M112" s="5" t="n">
        <x:f>IF(J112=0,L112,MIN(L112,ROUND(I112/Vehiculos!$E$4*Vehiculos!$F$4,2)))</x:f>
        <x:v>284.19</x:v>
      </x:c>
      <x:c r="N112" s="5" t="n">
        <x:f>ROUND(L112-M112,2)</x:f>
        <x:v>0</x:v>
      </x:c>
      <x:c r="O112" s="5" t="n">
        <x:f>ROUND(H112/Vehiculos!$G$4*60+G112*8,0)</x:f>
        <x:v>103</x:v>
      </x:c>
      <x:c r="P112" s="5" t="n">
        <x:f>MIN(O112,ROUND(I112/Vehiculos!$G$4*60+G112*8,0))</x:f>
        <x:v>103</x:v>
      </x:c>
      <x:c r="Q112" s="5" t="n">
        <x:f>O112-P112</x:f>
        <x:v>0</x:v>
      </x:c>
      <x:c r="R112" s="1" t="str">
        <x:v>P0204</x:v>
      </x:c>
      <x:c r="S112" s="1" t="str">
        <x:v>Jutiapa</x:v>
      </x:c>
      <x:c r="T112" s="1" t="n">
        <x:f>Parametros_Operacion!$B$5</x:f>
        <x:v>31.4</x:v>
      </x:c>
      <x:c r="U112" s="1" t="n">
        <x:v>11.74</x:v>
      </x:c>
      <x:c r="V112" s="1" t="n">
        <x:v>11.74</x:v>
      </x:c>
      <x:c r="W112" s="1" t="n">
        <x:f>T112</x:f>
        <x:v>31.4</x:v>
      </x:c>
    </x:row>
    <x:row r="113">
      <x:c r="A113" s="1" t="str">
        <x:v>RT-20260526-R004</x:v>
      </x:c>
      <x:c r="B113" s="1" t="str">
        <x:v>2026-05-26</x:v>
      </x:c>
      <x:c r="C113" s="1" t="str">
        <x:v>R004</x:v>
      </x:c>
      <x:c r="D113" s="1" t="str">
        <x:v>Daniela Cruz</x:v>
      </x:c>
      <x:c r="E113" s="1" t="str">
        <x:v>V004</x:v>
      </x:c>
      <x:c r="F113" s="1" t="str">
        <x:v>Pickup con carrocería</x:v>
      </x:c>
      <x:c r="G113" s="1" t="n">
        <x:v>1</x:v>
      </x:c>
      <x:c r="H113" s="5" t="n">
        <x:f>ROUND(2*T113+U113,2)</x:f>
        <x:v>91.56</x:v>
      </x:c>
      <x:c r="I113" s="5" t="n">
        <x:f>MIN(H113,ROUND(T113+V113+W113,2))</x:f>
        <x:v>91.56</x:v>
      </x:c>
      <x:c r="J113" s="5" t="n">
        <x:f>ROUND(H113-I113,2)</x:f>
        <x:v>0</x:v>
      </x:c>
      <x:c r="K113" s="5" t="n">
        <x:f>IF(H113=0,0,ROUND(100*J113/H113,2))</x:f>
        <x:v>0</x:v>
      </x:c>
      <x:c r="L113" s="5" t="n">
        <x:f>SUMIF(Pedidos!$L$2:$L$231,A113,Pedidos!$Q$2:$Q$231)</x:f>
        <x:v>332.45</x:v>
      </x:c>
      <x:c r="M113" s="5" t="n">
        <x:f>IF(J113=0,L113,MIN(L113,ROUND(I113/Vehiculos!$E$5*Vehiculos!$F$5,2)))</x:f>
        <x:v>332.45</x:v>
      </x:c>
      <x:c r="N113" s="5" t="n">
        <x:f>ROUND(L113-M113,2)</x:f>
        <x:v>0</x:v>
      </x:c>
      <x:c r="O113" s="5" t="n">
        <x:f>ROUND(H113/Vehiculos!$G$5*60+G113*8,0)</x:f>
        <x:v>120</x:v>
      </x:c>
      <x:c r="P113" s="5" t="n">
        <x:f>MIN(O113,ROUND(I113/Vehiculos!$G$5*60+G113*8,0))</x:f>
        <x:v>120</x:v>
      </x:c>
      <x:c r="Q113" s="5" t="n">
        <x:f>O113-P113</x:f>
        <x:v>0</x:v>
      </x:c>
      <x:c r="R113" s="1" t="str">
        <x:v>P0122</x:v>
      </x:c>
      <x:c r="S113" s="1" t="str">
        <x:v>La Masica</x:v>
      </x:c>
      <x:c r="T113" s="1" t="n">
        <x:f>Parametros_Operacion!$B$7</x:f>
        <x:v>41.2</x:v>
      </x:c>
      <x:c r="U113" s="1" t="n">
        <x:v>9.16</x:v>
      </x:c>
      <x:c r="V113" s="1" t="n">
        <x:v>9.16</x:v>
      </x:c>
      <x:c r="W113" s="1" t="n">
        <x:f>T113</x:f>
        <x:v>41.2</x:v>
      </x:c>
    </x:row>
    <x:row r="114">
      <x:c r="A114" s="1" t="str">
        <x:v>RT-20260526-R005</x:v>
      </x:c>
      <x:c r="B114" s="1" t="str">
        <x:v>2026-05-26</x:v>
      </x:c>
      <x:c r="C114" s="1" t="str">
        <x:v>R005</x:v>
      </x:c>
      <x:c r="D114" s="1" t="str">
        <x:v>José Martínez</x:v>
      </x:c>
      <x:c r="E114" s="1" t="str">
        <x:v>V005</x:v>
      </x:c>
      <x:c r="F114" s="1" t="str">
        <x:v>Camión pequeño</x:v>
      </x:c>
      <x:c r="G114" s="1" t="n">
        <x:v>1</x:v>
      </x:c>
      <x:c r="H114" s="5" t="n">
        <x:f>ROUND(2*T114+U114,2)</x:f>
        <x:v>73.78</x:v>
      </x:c>
      <x:c r="I114" s="5" t="n">
        <x:f>MIN(H114,ROUND(T114+V114+W114,2))</x:f>
        <x:v>73.78</x:v>
      </x:c>
      <x:c r="J114" s="5" t="n">
        <x:f>ROUND(H114-I114,2)</x:f>
        <x:v>0</x:v>
      </x:c>
      <x:c r="K114" s="5" t="n">
        <x:f>IF(H114=0,0,ROUND(100*J114/H114,2))</x:f>
        <x:v>0</x:v>
      </x:c>
      <x:c r="L114" s="5" t="n">
        <x:f>SUMIF(Pedidos!$L$2:$L$231,A114,Pedidos!$Q$2:$Q$231)</x:f>
        <x:v>351.61</x:v>
      </x:c>
      <x:c r="M114" s="5" t="n">
        <x:f>IF(J114=0,L114,MIN(L114,ROUND(I114/Vehiculos!$E$6*Vehiculos!$F$6,2)))</x:f>
        <x:v>351.61</x:v>
      </x:c>
      <x:c r="N114" s="5" t="n">
        <x:f>ROUND(L114-M114,2)</x:f>
        <x:v>0</x:v>
      </x:c>
      <x:c r="O114" s="5" t="n">
        <x:f>ROUND(H114/Vehiculos!$G$6*60+G114*8,0)</x:f>
        <x:v>111</x:v>
      </x:c>
      <x:c r="P114" s="5" t="n">
        <x:f>MIN(O114,ROUND(I114/Vehiculos!$G$6*60+G114*8,0))</x:f>
        <x:v>111</x:v>
      </x:c>
      <x:c r="Q114" s="5" t="n">
        <x:f>O114-P114</x:f>
        <x:v>0</x:v>
      </x:c>
      <x:c r="R114" s="1" t="str">
        <x:v>P0184</x:v>
      </x:c>
      <x:c r="S114" s="1" t="str">
        <x:v>San Francisco</x:v>
      </x:c>
      <x:c r="T114" s="1" t="n">
        <x:f>Parametros_Operacion!$B$8</x:f>
        <x:v>35</x:v>
      </x:c>
      <x:c r="U114" s="1" t="n">
        <x:v>3.78</x:v>
      </x:c>
      <x:c r="V114" s="1" t="n">
        <x:v>3.78</x:v>
      </x:c>
      <x:c r="W114" s="1" t="n">
        <x:f>T114</x:f>
        <x:v>35</x:v>
      </x:c>
    </x:row>
    <x:row r="115">
      <x:c r="A115" s="1" t="str">
        <x:v>RT-20260526-R006</x:v>
      </x:c>
      <x:c r="B115" s="1" t="str">
        <x:v>2026-05-26</x:v>
      </x:c>
      <x:c r="C115" s="1" t="str">
        <x:v>R006</x:v>
      </x:c>
      <x:c r="D115" s="1" t="str">
        <x:v>Kevin Flores</x:v>
      </x:c>
      <x:c r="E115" s="1" t="str">
        <x:v>V006</x:v>
      </x:c>
      <x:c r="F115" s="1" t="str">
        <x:v>Pickup con carrocería</x:v>
      </x:c>
      <x:c r="G115" s="1" t="n">
        <x:v>1</x:v>
      </x:c>
      <x:c r="H115" s="5" t="n">
        <x:f>ROUND(2*T115+U115,2)</x:f>
        <x:v>151.3</x:v>
      </x:c>
      <x:c r="I115" s="5" t="n">
        <x:f>MIN(H115,ROUND(T115+V115+W115,2))</x:f>
        <x:v>151.3</x:v>
      </x:c>
      <x:c r="J115" s="5" t="n">
        <x:f>ROUND(H115-I115,2)</x:f>
        <x:v>0</x:v>
      </x:c>
      <x:c r="K115" s="5" t="n">
        <x:f>IF(H115=0,0,ROUND(100*J115/H115,2))</x:f>
        <x:v>0</x:v>
      </x:c>
      <x:c r="L115" s="5" t="n">
        <x:f>SUMIF(Pedidos!$L$2:$L$231,A115,Pedidos!$Q$2:$Q$231)</x:f>
        <x:v>576.84</x:v>
      </x:c>
      <x:c r="M115" s="5" t="n">
        <x:f>IF(J115=0,L115,MIN(L115,ROUND(I115/Vehiculos!$E$7*Vehiculos!$F$7,2)))</x:f>
        <x:v>576.84</x:v>
      </x:c>
      <x:c r="N115" s="5" t="n">
        <x:f>ROUND(L115-M115,2)</x:f>
        <x:v>0</x:v>
      </x:c>
      <x:c r="O115" s="5" t="n">
        <x:f>ROUND(H115/Vehiculos!$G$7*60+G115*8,0)</x:f>
        <x:v>201</x:v>
      </x:c>
      <x:c r="P115" s="5" t="n">
        <x:f>MIN(O115,ROUND(I115/Vehiculos!$G$7*60+G115*8,0))</x:f>
        <x:v>201</x:v>
      </x:c>
      <x:c r="Q115" s="5" t="n">
        <x:f>O115-P115</x:f>
        <x:v>0</x:v>
      </x:c>
      <x:c r="R115" s="1" t="str">
        <x:v>P0188</x:v>
      </x:c>
      <x:c r="S115" s="1" t="str">
        <x:v>Arizona</x:v>
      </x:c>
      <x:c r="T115" s="1" t="n">
        <x:f>Parametros_Operacion!$B$2</x:f>
        <x:v>72.5</x:v>
      </x:c>
      <x:c r="U115" s="1" t="n">
        <x:v>6.3</x:v>
      </x:c>
      <x:c r="V115" s="1" t="n">
        <x:v>6.3</x:v>
      </x:c>
      <x:c r="W115" s="1" t="n">
        <x:f>T115</x:f>
        <x:v>72.5</x:v>
      </x:c>
    </x:row>
    <x:row r="116">
      <x:c r="A116" s="1" t="str">
        <x:v>RT-20260526-R007</x:v>
      </x:c>
      <x:c r="B116" s="1" t="str">
        <x:v>2026-05-26</x:v>
      </x:c>
      <x:c r="C116" s="1" t="str">
        <x:v>R007</x:v>
      </x:c>
      <x:c r="D116" s="1" t="str">
        <x:v>María Hernández</x:v>
      </x:c>
      <x:c r="E116" s="1" t="str">
        <x:v>V007</x:v>
      </x:c>
      <x:c r="F116" s="1" t="str">
        <x:v>Pickup con carrocería</x:v>
      </x:c>
      <x:c r="G116" s="1" t="n">
        <x:v>2</x:v>
      </x:c>
      <x:c r="H116" s="5" t="n">
        <x:f>ROUND(2*T116+U116,2)</x:f>
        <x:v>162.52</x:v>
      </x:c>
      <x:c r="I116" s="5" t="n">
        <x:f>MIN(H116,ROUND(T116+V116+W116,2))</x:f>
        <x:v>162.52</x:v>
      </x:c>
      <x:c r="J116" s="5" t="n">
        <x:f>ROUND(H116-I116,2)</x:f>
        <x:v>0</x:v>
      </x:c>
      <x:c r="K116" s="5" t="n">
        <x:f>IF(H116=0,0,ROUND(100*J116/H116,2))</x:f>
        <x:v>0</x:v>
      </x:c>
      <x:c r="L116" s="5" t="n">
        <x:f>SUMIF(Pedidos!$L$2:$L$231,A116,Pedidos!$Q$2:$Q$231)</x:f>
        <x:v>619.62</x:v>
      </x:c>
      <x:c r="M116" s="5" t="n">
        <x:f>IF(J116=0,L116,MIN(L116,ROUND(I116/Vehiculos!$E$8*Vehiculos!$F$8,2)))</x:f>
        <x:v>619.62</x:v>
      </x:c>
      <x:c r="N116" s="5" t="n">
        <x:f>ROUND(L116-M116,2)</x:f>
        <x:v>0</x:v>
      </x:c>
      <x:c r="O116" s="5" t="n">
        <x:f>ROUND(H116/Vehiculos!$G$8*60+G116*8,0)</x:f>
        <x:v>228</x:v>
      </x:c>
      <x:c r="P116" s="5" t="n">
        <x:f>MIN(O116,ROUND(I116/Vehiculos!$G$8*60+G116*8,0))</x:f>
        <x:v>228</x:v>
      </x:c>
      <x:c r="Q116" s="5" t="n">
        <x:f>O116-P116</x:f>
        <x:v>0</x:v>
      </x:c>
      <x:c r="R116" s="1" t="str">
        <x:v>P0191 &gt; P0192</x:v>
      </x:c>
      <x:c r="S116" s="1" t="str">
        <x:v>Esparta</x:v>
      </x:c>
      <x:c r="T116" s="1" t="n">
        <x:f>Parametros_Operacion!$B$4</x:f>
        <x:v>75.5</x:v>
      </x:c>
      <x:c r="U116" s="1" t="n">
        <x:v>11.52</x:v>
      </x:c>
      <x:c r="V116" s="1" t="n">
        <x:v>11.52</x:v>
      </x:c>
      <x:c r="W116" s="1" t="n">
        <x:f>T116</x:f>
        <x:v>75.5</x:v>
      </x:c>
    </x:row>
    <x:row r="117">
      <x:c r="A117" s="1" t="str">
        <x:v>RT-20260526-R008</x:v>
      </x:c>
      <x:c r="B117" s="1" t="str">
        <x:v>2026-05-26</x:v>
      </x:c>
      <x:c r="C117" s="1" t="str">
        <x:v>R008</x:v>
      </x:c>
      <x:c r="D117" s="1" t="str">
        <x:v>Jorge Castro</x:v>
      </x:c>
      <x:c r="E117" s="1" t="str">
        <x:v>V008</x:v>
      </x:c>
      <x:c r="F117" s="1" t="str">
        <x:v>Camión pequeño</x:v>
      </x:c>
      <x:c r="G117" s="1" t="n">
        <x:v>1</x:v>
      </x:c>
      <x:c r="H117" s="5" t="n">
        <x:f>ROUND(2*T117+U117,2)</x:f>
        <x:v>38.8</x:v>
      </x:c>
      <x:c r="I117" s="5" t="n">
        <x:f>MIN(H117,ROUND(T117+V117+W117,2))</x:f>
        <x:v>38.8</x:v>
      </x:c>
      <x:c r="J117" s="5" t="n">
        <x:f>ROUND(H117-I117,2)</x:f>
        <x:v>0</x:v>
      </x:c>
      <x:c r="K117" s="5" t="n">
        <x:f>IF(H117=0,0,ROUND(100*J117/H117,2))</x:f>
        <x:v>0</x:v>
      </x:c>
      <x:c r="L117" s="5" t="n">
        <x:f>SUMIF(Pedidos!$L$2:$L$231,A117,Pedidos!$Q$2:$Q$231)</x:f>
        <x:v>197.23</x:v>
      </x:c>
      <x:c r="M117" s="5" t="n">
        <x:f>IF(J117=0,L117,MIN(L117,ROUND(I117/Vehiculos!$E$9*Vehiculos!$F$9,2)))</x:f>
        <x:v>197.23</x:v>
      </x:c>
      <x:c r="N117" s="5" t="n">
        <x:f>ROUND(L117-M117,2)</x:f>
        <x:v>0</x:v>
      </x:c>
      <x:c r="O117" s="5" t="n">
        <x:f>ROUND(H117/Vehiculos!$G$9*60+G117*8,0)</x:f>
        <x:v>63</x:v>
      </x:c>
      <x:c r="P117" s="5" t="n">
        <x:f>MIN(O117,ROUND(I117/Vehiculos!$G$9*60+G117*8,0))</x:f>
        <x:v>63</x:v>
      </x:c>
      <x:c r="Q117" s="5" t="n">
        <x:f>O117-P117</x:f>
        <x:v>0</x:v>
      </x:c>
      <x:c r="R117" s="1" t="str">
        <x:v>P0171</x:v>
      </x:c>
      <x:c r="S117" s="1" t="str">
        <x:v>El Porvenir</x:v>
      </x:c>
      <x:c r="T117" s="1" t="n">
        <x:f>Parametros_Operacion!$B$3</x:f>
        <x:v>16.5</x:v>
      </x:c>
      <x:c r="U117" s="1" t="n">
        <x:v>5.8</x:v>
      </x:c>
      <x:c r="V117" s="1" t="n">
        <x:v>5.8</x:v>
      </x:c>
      <x:c r="W117" s="1" t="n">
        <x:f>T117</x:f>
        <x:v>16.5</x:v>
      </x:c>
    </x:row>
    <x:row r="118">
      <x:c r="A118" s="1" t="str">
        <x:v>RT-20260527-R001</x:v>
      </x:c>
      <x:c r="B118" s="1" t="str">
        <x:v>2026-05-27</x:v>
      </x:c>
      <x:c r="C118" s="1" t="str">
        <x:v>R001</x:v>
      </x:c>
      <x:c r="D118" s="1" t="str">
        <x:v>Carlos Mejía</x:v>
      </x:c>
      <x:c r="E118" s="1" t="str">
        <x:v>V001</x:v>
      </x:c>
      <x:c r="F118" s="1" t="str">
        <x:v>Pickup con carrocería</x:v>
      </x:c>
      <x:c r="G118" s="1" t="n">
        <x:v>1</x:v>
      </x:c>
      <x:c r="H118" s="5" t="n">
        <x:f>ROUND(2*T118+U118,2)</x:f>
        <x:v>5.2</x:v>
      </x:c>
      <x:c r="I118" s="5" t="n">
        <x:f>MIN(H118,ROUND(T118+V118+W118,2))</x:f>
        <x:v>5.2</x:v>
      </x:c>
      <x:c r="J118" s="5" t="n">
        <x:f>ROUND(H118-I118,2)</x:f>
        <x:v>0</x:v>
      </x:c>
      <x:c r="K118" s="5" t="n">
        <x:f>IF(H118=0,0,ROUND(100*J118/H118,2))</x:f>
        <x:v>0</x:v>
      </x:c>
      <x:c r="L118" s="5" t="n">
        <x:f>SUMIF(Pedidos!$L$2:$L$231,A118,Pedidos!$Q$2:$Q$231)</x:f>
        <x:v>18.02</x:v>
      </x:c>
      <x:c r="M118" s="5" t="n">
        <x:f>IF(J118=0,L118,MIN(L118,ROUND(I118/Vehiculos!$E$2*Vehiculos!$F$2,2)))</x:f>
        <x:v>18.02</x:v>
      </x:c>
      <x:c r="N118" s="5" t="n">
        <x:f>ROUND(L118-M118,2)</x:f>
        <x:v>0</x:v>
      </x:c>
      <x:c r="O118" s="5" t="n">
        <x:f>ROUND(H118/Vehiculos!$G$2*60+G118*8,0)</x:f>
        <x:v>14</x:v>
      </x:c>
      <x:c r="P118" s="5" t="n">
        <x:f>MIN(O118,ROUND(I118/Vehiculos!$G$2*60+G118*8,0))</x:f>
        <x:v>14</x:v>
      </x:c>
      <x:c r="Q118" s="5" t="n">
        <x:f>O118-P118</x:f>
        <x:v>0</x:v>
      </x:c>
      <x:c r="R118" s="1" t="str">
        <x:v>P0211</x:v>
      </x:c>
      <x:c r="S118" s="1" t="str">
        <x:v>La Ceiba</x:v>
      </x:c>
      <x:c r="T118" s="1" t="n">
        <x:f>Parametros_Operacion!$B$6</x:f>
        <x:v>0</x:v>
      </x:c>
      <x:c r="U118" s="1" t="n">
        <x:v>5.2</x:v>
      </x:c>
      <x:c r="V118" s="1" t="n">
        <x:v>5.2</x:v>
      </x:c>
      <x:c r="W118" s="1" t="n">
        <x:f>T118</x:f>
        <x:v>0</x:v>
      </x:c>
    </x:row>
    <x:row r="119">
      <x:c r="A119" s="1" t="str">
        <x:v>RT-20260527-R002</x:v>
      </x:c>
      <x:c r="B119" s="1" t="str">
        <x:v>2026-05-27</x:v>
      </x:c>
      <x:c r="C119" s="1" t="str">
        <x:v>R002</x:v>
      </x:c>
      <x:c r="D119" s="1" t="str">
        <x:v>Ana López</x:v>
      </x:c>
      <x:c r="E119" s="1" t="str">
        <x:v>V002</x:v>
      </x:c>
      <x:c r="F119" s="1" t="str">
        <x:v>Pickup con carrocería</x:v>
      </x:c>
      <x:c r="G119" s="1" t="n">
        <x:v>2</x:v>
      </x:c>
      <x:c r="H119" s="5" t="n">
        <x:f>ROUND(2*T119+U119,2)</x:f>
        <x:v>213.9</x:v>
      </x:c>
      <x:c r="I119" s="5" t="n">
        <x:f>MIN(H119,ROUND(T119+V119+W119,2))</x:f>
        <x:v>213.9</x:v>
      </x:c>
      <x:c r="J119" s="5" t="n">
        <x:f>ROUND(H119-I119,2)</x:f>
        <x:v>0</x:v>
      </x:c>
      <x:c r="K119" s="5" t="n">
        <x:f>IF(H119=0,0,ROUND(100*J119/H119,2))</x:f>
        <x:v>0</x:v>
      </x:c>
      <x:c r="L119" s="5" t="n">
        <x:f>SUMIF(Pedidos!$L$2:$L$231,A119,Pedidos!$Q$2:$Q$231)</x:f>
        <x:v>776.66</x:v>
      </x:c>
      <x:c r="M119" s="5" t="n">
        <x:f>IF(J119=0,L119,MIN(L119,ROUND(I119/Vehiculos!$E$3*Vehiculos!$F$3,2)))</x:f>
        <x:v>776.66</x:v>
      </x:c>
      <x:c r="N119" s="5" t="n">
        <x:f>ROUND(L119-M119,2)</x:f>
        <x:v>0</x:v>
      </x:c>
      <x:c r="O119" s="5" t="n">
        <x:f>ROUND(H119/Vehiculos!$G$3*60+G119*8,0)</x:f>
        <x:v>283</x:v>
      </x:c>
      <x:c r="P119" s="5" t="n">
        <x:f>MIN(O119,ROUND(I119/Vehiculos!$G$3*60+G119*8,0))</x:f>
        <x:v>283</x:v>
      </x:c>
      <x:c r="Q119" s="5" t="n">
        <x:f>O119-P119</x:f>
        <x:v>0</x:v>
      </x:c>
      <x:c r="R119" s="1" t="str">
        <x:v>P0046 &gt; P0208</x:v>
      </x:c>
      <x:c r="S119" s="1" t="str">
        <x:v>Tela</x:v>
      </x:c>
      <x:c r="T119" s="1" t="n">
        <x:f>Parametros_Operacion!$B$9</x:f>
        <x:v>102.3</x:v>
      </x:c>
      <x:c r="U119" s="1" t="n">
        <x:v>9.3</x:v>
      </x:c>
      <x:c r="V119" s="1" t="n">
        <x:v>9.3</x:v>
      </x:c>
      <x:c r="W119" s="1" t="n">
        <x:f>T119</x:f>
        <x:v>102.3</x:v>
      </x:c>
    </x:row>
    <x:row r="120">
      <x:c r="A120" s="1" t="str">
        <x:v>RT-20260527-R004</x:v>
      </x:c>
      <x:c r="B120" s="1" t="str">
        <x:v>2026-05-27</x:v>
      </x:c>
      <x:c r="C120" s="1" t="str">
        <x:v>R004</x:v>
      </x:c>
      <x:c r="D120" s="1" t="str">
        <x:v>Daniela Cruz</x:v>
      </x:c>
      <x:c r="E120" s="1" t="str">
        <x:v>V004</x:v>
      </x:c>
      <x:c r="F120" s="1" t="str">
        <x:v>Pickup con carrocería</x:v>
      </x:c>
      <x:c r="G120" s="1" t="n">
        <x:v>2</x:v>
      </x:c>
      <x:c r="H120" s="5" t="n">
        <x:f>ROUND(2*T120+U120,2)</x:f>
        <x:v>92.8</x:v>
      </x:c>
      <x:c r="I120" s="5" t="n">
        <x:f>MIN(H120,ROUND(T120+V120+W120,2))</x:f>
        <x:v>92.8</x:v>
      </x:c>
      <x:c r="J120" s="5" t="n">
        <x:f>ROUND(H120-I120,2)</x:f>
        <x:v>0</x:v>
      </x:c>
      <x:c r="K120" s="5" t="n">
        <x:f>IF(H120=0,0,ROUND(100*J120/H120,2))</x:f>
        <x:v>0</x:v>
      </x:c>
      <x:c r="L120" s="5" t="n">
        <x:f>SUMIF(Pedidos!$L$2:$L$231,A120,Pedidos!$Q$2:$Q$231)</x:f>
        <x:v>336.96000000000004</x:v>
      </x:c>
      <x:c r="M120" s="5" t="n">
        <x:f>IF(J120=0,L120,MIN(L120,ROUND(I120/Vehiculos!$E$5*Vehiculos!$F$5,2)))</x:f>
        <x:v>336.96000000000004</x:v>
      </x:c>
      <x:c r="N120" s="5" t="n">
        <x:f>ROUND(L120-M120,2)</x:f>
        <x:v>0</x:v>
      </x:c>
      <x:c r="O120" s="5" t="n">
        <x:f>ROUND(H120/Vehiculos!$G$5*60+G120*8,0)</x:f>
        <x:v>130</x:v>
      </x:c>
      <x:c r="P120" s="5" t="n">
        <x:f>MIN(O120,ROUND(I120/Vehiculos!$G$5*60+G120*8,0))</x:f>
        <x:v>130</x:v>
      </x:c>
      <x:c r="Q120" s="5" t="n">
        <x:f>O120-P120</x:f>
        <x:v>0</x:v>
      </x:c>
      <x:c r="R120" s="1" t="str">
        <x:v>P0096 &gt; P0194</x:v>
      </x:c>
      <x:c r="S120" s="1" t="str">
        <x:v>La Masica</x:v>
      </x:c>
      <x:c r="T120" s="1" t="n">
        <x:f>Parametros_Operacion!$B$7</x:f>
        <x:v>41.2</x:v>
      </x:c>
      <x:c r="U120" s="1" t="n">
        <x:v>10.4</x:v>
      </x:c>
      <x:c r="V120" s="1" t="n">
        <x:v>10.4</x:v>
      </x:c>
      <x:c r="W120" s="1" t="n">
        <x:f>T120</x:f>
        <x:v>41.2</x:v>
      </x:c>
    </x:row>
    <x:row r="121">
      <x:c r="A121" s="1" t="str">
        <x:v>RT-20260527-R005</x:v>
      </x:c>
      <x:c r="B121" s="1" t="str">
        <x:v>2026-05-27</x:v>
      </x:c>
      <x:c r="C121" s="1" t="str">
        <x:v>R005</x:v>
      </x:c>
      <x:c r="D121" s="1" t="str">
        <x:v>José Martínez</x:v>
      </x:c>
      <x:c r="E121" s="1" t="str">
        <x:v>V005</x:v>
      </x:c>
      <x:c r="F121" s="1" t="str">
        <x:v>Camión pequeño</x:v>
      </x:c>
      <x:c r="G121" s="1" t="n">
        <x:v>1</x:v>
      </x:c>
      <x:c r="H121" s="5" t="n">
        <x:f>ROUND(2*T121+U121,2)</x:f>
        <x:v>75.68</x:v>
      </x:c>
      <x:c r="I121" s="5" t="n">
        <x:f>MIN(H121,ROUND(T121+V121+W121,2))</x:f>
        <x:v>75.68</x:v>
      </x:c>
      <x:c r="J121" s="5" t="n">
        <x:f>ROUND(H121-I121,2)</x:f>
        <x:v>0</x:v>
      </x:c>
      <x:c r="K121" s="5" t="n">
        <x:f>IF(H121=0,0,ROUND(100*J121/H121,2))</x:f>
        <x:v>0</x:v>
      </x:c>
      <x:c r="L121" s="5" t="n">
        <x:f>SUMIF(Pedidos!$L$2:$L$231,A121,Pedidos!$Q$2:$Q$231)</x:f>
        <x:v>360.67</x:v>
      </x:c>
      <x:c r="M121" s="5" t="n">
        <x:f>IF(J121=0,L121,MIN(L121,ROUND(I121/Vehiculos!$E$6*Vehiculos!$F$6,2)))</x:f>
        <x:v>360.67</x:v>
      </x:c>
      <x:c r="N121" s="5" t="n">
        <x:f>ROUND(L121-M121,2)</x:f>
        <x:v>0</x:v>
      </x:c>
      <x:c r="O121" s="5" t="n">
        <x:f>ROUND(H121/Vehiculos!$G$6*60+G121*8,0)</x:f>
        <x:v>114</x:v>
      </x:c>
      <x:c r="P121" s="5" t="n">
        <x:f>MIN(O121,ROUND(I121/Vehiculos!$G$6*60+G121*8,0))</x:f>
        <x:v>114</x:v>
      </x:c>
      <x:c r="Q121" s="5" t="n">
        <x:f>O121-P121</x:f>
        <x:v>0</x:v>
      </x:c>
      <x:c r="R121" s="1" t="str">
        <x:v>P0169</x:v>
      </x:c>
      <x:c r="S121" s="1" t="str">
        <x:v>San Francisco</x:v>
      </x:c>
      <x:c r="T121" s="1" t="n">
        <x:f>Parametros_Operacion!$B$8</x:f>
        <x:v>35</x:v>
      </x:c>
      <x:c r="U121" s="1" t="n">
        <x:v>5.68</x:v>
      </x:c>
      <x:c r="V121" s="1" t="n">
        <x:v>5.68</x:v>
      </x:c>
      <x:c r="W121" s="1" t="n">
        <x:f>T121</x:f>
        <x:v>35</x:v>
      </x:c>
    </x:row>
    <x:row r="122">
      <x:c r="A122" s="1" t="str">
        <x:v>RT-20260527-R007</x:v>
      </x:c>
      <x:c r="B122" s="1" t="str">
        <x:v>2026-05-27</x:v>
      </x:c>
      <x:c r="C122" s="1" t="str">
        <x:v>R007</x:v>
      </x:c>
      <x:c r="D122" s="1" t="str">
        <x:v>María Hernández</x:v>
      </x:c>
      <x:c r="E122" s="1" t="str">
        <x:v>V007</x:v>
      </x:c>
      <x:c r="F122" s="1" t="str">
        <x:v>Pickup con carrocería</x:v>
      </x:c>
      <x:c r="G122" s="1" t="n">
        <x:v>3</x:v>
      </x:c>
      <x:c r="H122" s="5" t="n">
        <x:f>ROUND(2*T122+U122,2)</x:f>
        <x:v>166.61</x:v>
      </x:c>
      <x:c r="I122" s="5" t="n">
        <x:f>MIN(H122,ROUND(T122+V122+W122,2))</x:f>
        <x:v>165.43</x:v>
      </x:c>
      <x:c r="J122" s="5" t="n">
        <x:f>ROUND(H122-I122,2)</x:f>
        <x:v>1.18</x:v>
      </x:c>
      <x:c r="K122" s="5" t="n">
        <x:f>IF(H122=0,0,ROUND(100*J122/H122,2))</x:f>
        <x:v>0.71</x:v>
      </x:c>
      <x:c r="L122" s="5" t="n">
        <x:f>SUMIF(Pedidos!$L$2:$L$231,A122,Pedidos!$Q$2:$Q$231)</x:f>
        <x:v>635.21</x:v>
      </x:c>
      <x:c r="M122" s="5" t="n">
        <x:f>IF(J122=0,L122,MIN(L122,ROUND(I122/Vehiculos!$E$8*Vehiculos!$F$8,2)))</x:f>
        <x:v>630.71</x:v>
      </x:c>
      <x:c r="N122" s="5" t="n">
        <x:f>ROUND(L122-M122,2)</x:f>
        <x:v>4.5</x:v>
      </x:c>
      <x:c r="O122" s="5" t="n">
        <x:f>ROUND(H122/Vehiculos!$G$8*60+G122*8,0)</x:f>
        <x:v>241</x:v>
      </x:c>
      <x:c r="P122" s="5" t="n">
        <x:f>MIN(O122,ROUND(I122/Vehiculos!$G$8*60+G122*8,0))</x:f>
        <x:v>240</x:v>
      </x:c>
      <x:c r="Q122" s="5" t="n">
        <x:f>O122-P122</x:f>
        <x:v>1</x:v>
      </x:c>
      <x:c r="R122" s="1" t="str">
        <x:v>P0207 &gt; P0210 &gt; P0209</x:v>
      </x:c>
      <x:c r="S122" s="1" t="str">
        <x:v>Esparta</x:v>
      </x:c>
      <x:c r="T122" s="1" t="n">
        <x:f>Parametros_Operacion!$B$4</x:f>
        <x:v>75.5</x:v>
      </x:c>
      <x:c r="U122" s="1" t="n">
        <x:v>15.61</x:v>
      </x:c>
      <x:c r="V122" s="1" t="n">
        <x:v>14.43</x:v>
      </x:c>
      <x:c r="W122" s="1" t="n">
        <x:f>T122</x:f>
        <x:v>75.5</x:v>
      </x:c>
    </x:row>
    <x:row r="123">
      <x:c r="A123" s="1" t="str">
        <x:v>RT-20260528-R004</x:v>
      </x:c>
      <x:c r="B123" s="1" t="str">
        <x:v>2026-05-28</x:v>
      </x:c>
      <x:c r="C123" s="1" t="str">
        <x:v>R004</x:v>
      </x:c>
      <x:c r="D123" s="1" t="str">
        <x:v>Daniela Cruz</x:v>
      </x:c>
      <x:c r="E123" s="1" t="str">
        <x:v>V004</x:v>
      </x:c>
      <x:c r="F123" s="1" t="str">
        <x:v>Pickup con carrocería</x:v>
      </x:c>
      <x:c r="G123" s="1" t="n">
        <x:v>3</x:v>
      </x:c>
      <x:c r="H123" s="5" t="n">
        <x:f>ROUND(2*T123+U123,2)</x:f>
        <x:v>97.78</x:v>
      </x:c>
      <x:c r="I123" s="5" t="n">
        <x:f>MIN(H123,ROUND(T123+V123+W123,2))</x:f>
        <x:v>97.76</x:v>
      </x:c>
      <x:c r="J123" s="5" t="n">
        <x:f>ROUND(H123-I123,2)</x:f>
        <x:v>0.02</x:v>
      </x:c>
      <x:c r="K123" s="5" t="n">
        <x:f>IF(H123=0,0,ROUND(100*J123/H123,2))</x:f>
        <x:v>0.02</x:v>
      </x:c>
      <x:c r="L123" s="5" t="n">
        <x:f>SUMIF(Pedidos!$L$2:$L$231,A123,Pedidos!$Q$2:$Q$231)</x:f>
        <x:v>355.03999999999996</x:v>
      </x:c>
      <x:c r="M123" s="5" t="n">
        <x:f>IF(J123=0,L123,MIN(L123,ROUND(I123/Vehiculos!$E$5*Vehiculos!$F$5,2)))</x:f>
        <x:v>354.96</x:v>
      </x:c>
      <x:c r="N123" s="5" t="n">
        <x:f>ROUND(L123-M123,2)</x:f>
        <x:v>0.08</x:v>
      </x:c>
      <x:c r="O123" s="5" t="n">
        <x:f>ROUND(H123/Vehiculos!$G$5*60+G123*8,0)</x:f>
        <x:v>144</x:v>
      </x:c>
      <x:c r="P123" s="5" t="n">
        <x:f>MIN(O123,ROUND(I123/Vehiculos!$G$5*60+G123*8,0))</x:f>
        <x:v>144</x:v>
      </x:c>
      <x:c r="Q123" s="5" t="n">
        <x:f>O123-P123</x:f>
        <x:v>0</x:v>
      </x:c>
      <x:c r="R123" s="1" t="str">
        <x:v>P0141 &gt; P0200 &gt; P0215</x:v>
      </x:c>
      <x:c r="S123" s="1" t="str">
        <x:v>La Masica</x:v>
      </x:c>
      <x:c r="T123" s="1" t="n">
        <x:f>Parametros_Operacion!$B$7</x:f>
        <x:v>41.2</x:v>
      </x:c>
      <x:c r="U123" s="1" t="n">
        <x:v>15.38</x:v>
      </x:c>
      <x:c r="V123" s="1" t="n">
        <x:v>15.36</x:v>
      </x:c>
      <x:c r="W123" s="1" t="n">
        <x:f>T123</x:f>
        <x:v>41.2</x:v>
      </x:c>
    </x:row>
    <x:row r="124">
      <x:c r="A124" s="1" t="str">
        <x:v>RT-20260528-R007</x:v>
      </x:c>
      <x:c r="B124" s="1" t="str">
        <x:v>2026-05-28</x:v>
      </x:c>
      <x:c r="C124" s="1" t="str">
        <x:v>R007</x:v>
      </x:c>
      <x:c r="D124" s="1" t="str">
        <x:v>María Hernández</x:v>
      </x:c>
      <x:c r="E124" s="1" t="str">
        <x:v>V007</x:v>
      </x:c>
      <x:c r="F124" s="1" t="str">
        <x:v>Pickup con carrocería</x:v>
      </x:c>
      <x:c r="G124" s="1" t="n">
        <x:v>1</x:v>
      </x:c>
      <x:c r="H124" s="5" t="n">
        <x:f>ROUND(2*T124+U124,2)</x:f>
        <x:v>157.36</x:v>
      </x:c>
      <x:c r="I124" s="5" t="n">
        <x:f>MIN(H124,ROUND(T124+V124+W124,2))</x:f>
        <x:v>157.36</x:v>
      </x:c>
      <x:c r="J124" s="5" t="n">
        <x:f>ROUND(H124-I124,2)</x:f>
        <x:v>0</x:v>
      </x:c>
      <x:c r="K124" s="5" t="n">
        <x:f>IF(H124=0,0,ROUND(100*J124/H124,2))</x:f>
        <x:v>0</x:v>
      </x:c>
      <x:c r="L124" s="5" t="n">
        <x:f>SUMIF(Pedidos!$L$2:$L$231,A124,Pedidos!$Q$2:$Q$231)</x:f>
        <x:v>599.94</x:v>
      </x:c>
      <x:c r="M124" s="5" t="n">
        <x:f>IF(J124=0,L124,MIN(L124,ROUND(I124/Vehiculos!$E$8*Vehiculos!$F$8,2)))</x:f>
        <x:v>599.94</x:v>
      </x:c>
      <x:c r="N124" s="5" t="n">
        <x:f>ROUND(L124-M124,2)</x:f>
        <x:v>0</x:v>
      </x:c>
      <x:c r="O124" s="5" t="n">
        <x:f>ROUND(H124/Vehiculos!$G$8*60+G124*8,0)</x:f>
        <x:v>213</x:v>
      </x:c>
      <x:c r="P124" s="5" t="n">
        <x:f>MIN(O124,ROUND(I124/Vehiculos!$G$8*60+G124*8,0))</x:f>
        <x:v>213</x:v>
      </x:c>
      <x:c r="Q124" s="5" t="n">
        <x:f>O124-P124</x:f>
        <x:v>0</x:v>
      </x:c>
      <x:c r="R124" s="1" t="str">
        <x:v>P0212</x:v>
      </x:c>
      <x:c r="S124" s="1" t="str">
        <x:v>Esparta</x:v>
      </x:c>
      <x:c r="T124" s="1" t="n">
        <x:f>Parametros_Operacion!$B$4</x:f>
        <x:v>75.5</x:v>
      </x:c>
      <x:c r="U124" s="1" t="n">
        <x:v>6.36</x:v>
      </x:c>
      <x:c r="V124" s="1" t="n">
        <x:v>6.36</x:v>
      </x:c>
      <x:c r="W124" s="1" t="n">
        <x:f>T124</x:f>
        <x:v>75.5</x:v>
      </x:c>
    </x:row>
    <x:row r="125">
      <x:c r="A125" s="1" t="str">
        <x:v>RT-20260529-R002</x:v>
      </x:c>
      <x:c r="B125" s="1" t="str">
        <x:v>2026-05-29</x:v>
      </x:c>
      <x:c r="C125" s="1" t="str">
        <x:v>R002</x:v>
      </x:c>
      <x:c r="D125" s="1" t="str">
        <x:v>Ana López</x:v>
      </x:c>
      <x:c r="E125" s="1" t="str">
        <x:v>V002</x:v>
      </x:c>
      <x:c r="F125" s="1" t="str">
        <x:v>Pickup con carrocería</x:v>
      </x:c>
      <x:c r="G125" s="1" t="n">
        <x:v>1</x:v>
      </x:c>
      <x:c r="H125" s="5" t="n">
        <x:f>ROUND(2*T125+U125,2)</x:f>
        <x:v>212.94</x:v>
      </x:c>
      <x:c r="I125" s="5" t="n">
        <x:f>MIN(H125,ROUND(T125+V125+W125,2))</x:f>
        <x:v>212.94</x:v>
      </x:c>
      <x:c r="J125" s="5" t="n">
        <x:f>ROUND(H125-I125,2)</x:f>
        <x:v>0</x:v>
      </x:c>
      <x:c r="K125" s="5" t="n">
        <x:f>IF(H125=0,0,ROUND(100*J125/H125,2))</x:f>
        <x:v>0</x:v>
      </x:c>
      <x:c r="L125" s="5" t="n">
        <x:f>SUMIF(Pedidos!$L$2:$L$231,A125,Pedidos!$Q$2:$Q$231)</x:f>
        <x:v>773.18</x:v>
      </x:c>
      <x:c r="M125" s="5" t="n">
        <x:f>IF(J125=0,L125,MIN(L125,ROUND(I125/Vehiculos!$E$3*Vehiculos!$F$3,2)))</x:f>
        <x:v>773.18</x:v>
      </x:c>
      <x:c r="N125" s="5" t="n">
        <x:f>ROUND(L125-M125,2)</x:f>
        <x:v>0</x:v>
      </x:c>
      <x:c r="O125" s="5" t="n">
        <x:f>ROUND(H125/Vehiculos!$G$3*60+G125*8,0)</x:f>
        <x:v>274</x:v>
      </x:c>
      <x:c r="P125" s="5" t="n">
        <x:f>MIN(O125,ROUND(I125/Vehiculos!$G$3*60+G125*8,0))</x:f>
        <x:v>274</x:v>
      </x:c>
      <x:c r="Q125" s="5" t="n">
        <x:f>O125-P125</x:f>
        <x:v>0</x:v>
      </x:c>
      <x:c r="R125" s="1" t="str">
        <x:v>P0218</x:v>
      </x:c>
      <x:c r="S125" s="1" t="str">
        <x:v>Tela</x:v>
      </x:c>
      <x:c r="T125" s="1" t="n">
        <x:f>Parametros_Operacion!$B$9</x:f>
        <x:v>102.3</x:v>
      </x:c>
      <x:c r="U125" s="1" t="n">
        <x:v>8.34</x:v>
      </x:c>
      <x:c r="V125" s="1" t="n">
        <x:v>8.34</x:v>
      </x:c>
      <x:c r="W125" s="1" t="n">
        <x:f>T125</x:f>
        <x:v>102.3</x:v>
      </x:c>
    </x:row>
    <x:row r="126">
      <x:c r="A126" s="1" t="str">
        <x:v>RT-20260529-R003</x:v>
      </x:c>
      <x:c r="B126" s="1" t="str">
        <x:v>2026-05-29</x:v>
      </x:c>
      <x:c r="C126" s="1" t="str">
        <x:v>R003</x:v>
      </x:c>
      <x:c r="D126" s="1" t="str">
        <x:v>Luis Ramírez</x:v>
      </x:c>
      <x:c r="E126" s="1" t="str">
        <x:v>V003</x:v>
      </x:c>
      <x:c r="F126" s="1" t="str">
        <x:v>Pickup con carrocería</x:v>
      </x:c>
      <x:c r="G126" s="1" t="n">
        <x:v>1</x:v>
      </x:c>
      <x:c r="H126" s="5" t="n">
        <x:f>ROUND(2*T126+U126,2)</x:f>
        <x:v>68.04</x:v>
      </x:c>
      <x:c r="I126" s="5" t="n">
        <x:f>MIN(H126,ROUND(T126+V126+W126,2))</x:f>
        <x:v>68.04</x:v>
      </x:c>
      <x:c r="J126" s="5" t="n">
        <x:f>ROUND(H126-I126,2)</x:f>
        <x:v>0</x:v>
      </x:c>
      <x:c r="K126" s="5" t="n">
        <x:f>IF(H126=0,0,ROUND(100*J126/H126,2))</x:f>
        <x:v>0</x:v>
      </x:c>
      <x:c r="L126" s="5" t="n">
        <x:f>SUMIF(Pedidos!$L$2:$L$231,A126,Pedidos!$Q$2:$Q$231)</x:f>
        <x:v>259.4</x:v>
      </x:c>
      <x:c r="M126" s="5" t="n">
        <x:f>IF(J126=0,L126,MIN(L126,ROUND(I126/Vehiculos!$E$4*Vehiculos!$F$4,2)))</x:f>
        <x:v>259.4</x:v>
      </x:c>
      <x:c r="N126" s="5" t="n">
        <x:f>ROUND(L126-M126,2)</x:f>
        <x:v>0</x:v>
      </x:c>
      <x:c r="O126" s="5" t="n">
        <x:f>ROUND(H126/Vehiculos!$G$4*60+G126*8,0)</x:f>
        <x:v>95</x:v>
      </x:c>
      <x:c r="P126" s="5" t="n">
        <x:f>MIN(O126,ROUND(I126/Vehiculos!$G$4*60+G126*8,0))</x:f>
        <x:v>95</x:v>
      </x:c>
      <x:c r="Q126" s="5" t="n">
        <x:f>O126-P126</x:f>
        <x:v>0</x:v>
      </x:c>
      <x:c r="R126" s="1" t="str">
        <x:v>P0206</x:v>
      </x:c>
      <x:c r="S126" s="1" t="str">
        <x:v>Jutiapa</x:v>
      </x:c>
      <x:c r="T126" s="1" t="n">
        <x:f>Parametros_Operacion!$B$5</x:f>
        <x:v>31.4</x:v>
      </x:c>
      <x:c r="U126" s="1" t="n">
        <x:v>5.24</x:v>
      </x:c>
      <x:c r="V126" s="1" t="n">
        <x:v>5.24</x:v>
      </x:c>
      <x:c r="W126" s="1" t="n">
        <x:f>T126</x:f>
        <x:v>31.4</x:v>
      </x:c>
    </x:row>
    <x:row r="127">
      <x:c r="A127" s="1" t="str">
        <x:v>RT-20260529-R004</x:v>
      </x:c>
      <x:c r="B127" s="1" t="str">
        <x:v>2026-05-29</x:v>
      </x:c>
      <x:c r="C127" s="1" t="str">
        <x:v>R004</x:v>
      </x:c>
      <x:c r="D127" s="1" t="str">
        <x:v>Daniela Cruz</x:v>
      </x:c>
      <x:c r="E127" s="1" t="str">
        <x:v>V004</x:v>
      </x:c>
      <x:c r="F127" s="1" t="str">
        <x:v>Pickup con carrocería</x:v>
      </x:c>
      <x:c r="G127" s="1" t="n">
        <x:v>1</x:v>
      </x:c>
      <x:c r="H127" s="5" t="n">
        <x:f>ROUND(2*T127+U127,2)</x:f>
        <x:v>85.16</x:v>
      </x:c>
      <x:c r="I127" s="5" t="n">
        <x:f>MIN(H127,ROUND(T127+V127+W127,2))</x:f>
        <x:v>85.16</x:v>
      </x:c>
      <x:c r="J127" s="5" t="n">
        <x:f>ROUND(H127-I127,2)</x:f>
        <x:v>0</x:v>
      </x:c>
      <x:c r="K127" s="5" t="n">
        <x:f>IF(H127=0,0,ROUND(100*J127/H127,2))</x:f>
        <x:v>0</x:v>
      </x:c>
      <x:c r="L127" s="5" t="n">
        <x:f>SUMIF(Pedidos!$L$2:$L$231,A127,Pedidos!$Q$2:$Q$231)</x:f>
        <x:v>309.21</x:v>
      </x:c>
      <x:c r="M127" s="5" t="n">
        <x:f>IF(J127=0,L127,MIN(L127,ROUND(I127/Vehiculos!$E$5*Vehiculos!$F$5,2)))</x:f>
        <x:v>309.21</x:v>
      </x:c>
      <x:c r="N127" s="5" t="n">
        <x:f>ROUND(L127-M127,2)</x:f>
        <x:v>0</x:v>
      </x:c>
      <x:c r="O127" s="5" t="n">
        <x:f>ROUND(H127/Vehiculos!$G$5*60+G127*8,0)</x:f>
        <x:v>112</x:v>
      </x:c>
      <x:c r="P127" s="5" t="n">
        <x:f>MIN(O127,ROUND(I127/Vehiculos!$G$5*60+G127*8,0))</x:f>
        <x:v>112</x:v>
      </x:c>
      <x:c r="Q127" s="5" t="n">
        <x:f>O127-P127</x:f>
        <x:v>0</x:v>
      </x:c>
      <x:c r="R127" s="1" t="str">
        <x:v>P0221</x:v>
      </x:c>
      <x:c r="S127" s="1" t="str">
        <x:v>La Masica</x:v>
      </x:c>
      <x:c r="T127" s="1" t="n">
        <x:f>Parametros_Operacion!$B$7</x:f>
        <x:v>41.2</x:v>
      </x:c>
      <x:c r="U127" s="1" t="n">
        <x:v>2.76</x:v>
      </x:c>
      <x:c r="V127" s="1" t="n">
        <x:v>2.76</x:v>
      </x:c>
      <x:c r="W127" s="1" t="n">
        <x:f>T127</x:f>
        <x:v>41.2</x:v>
      </x:c>
    </x:row>
    <x:row r="128">
      <x:c r="A128" s="1" t="str">
        <x:v>RT-20260529-R006</x:v>
      </x:c>
      <x:c r="B128" s="1" t="str">
        <x:v>2026-05-29</x:v>
      </x:c>
      <x:c r="C128" s="1" t="str">
        <x:v>R006</x:v>
      </x:c>
      <x:c r="D128" s="1" t="str">
        <x:v>Kevin Flores</x:v>
      </x:c>
      <x:c r="E128" s="1" t="str">
        <x:v>V006</x:v>
      </x:c>
      <x:c r="F128" s="1" t="str">
        <x:v>Pickup con carrocería</x:v>
      </x:c>
      <x:c r="G128" s="1" t="n">
        <x:v>2</x:v>
      </x:c>
      <x:c r="H128" s="5" t="n">
        <x:f>ROUND(2*T128+U128,2)</x:f>
        <x:v>154.15</x:v>
      </x:c>
      <x:c r="I128" s="5" t="n">
        <x:f>MIN(H128,ROUND(T128+V128+W128,2))</x:f>
        <x:v>154.15</x:v>
      </x:c>
      <x:c r="J128" s="5" t="n">
        <x:f>ROUND(H128-I128,2)</x:f>
        <x:v>0</x:v>
      </x:c>
      <x:c r="K128" s="5" t="n">
        <x:f>IF(H128=0,0,ROUND(100*J128/H128,2))</x:f>
        <x:v>0</x:v>
      </x:c>
      <x:c r="L128" s="5" t="n">
        <x:f>SUMIF(Pedidos!$L$2:$L$231,A128,Pedidos!$Q$2:$Q$231)</x:f>
        <x:v>587.7</x:v>
      </x:c>
      <x:c r="M128" s="5" t="n">
        <x:f>IF(J128=0,L128,MIN(L128,ROUND(I128/Vehiculos!$E$7*Vehiculos!$F$7,2)))</x:f>
        <x:v>587.7</x:v>
      </x:c>
      <x:c r="N128" s="5" t="n">
        <x:f>ROUND(L128-M128,2)</x:f>
        <x:v>0</x:v>
      </x:c>
      <x:c r="O128" s="5" t="n">
        <x:f>ROUND(H128/Vehiculos!$G$7*60+G128*8,0)</x:f>
        <x:v>213</x:v>
      </x:c>
      <x:c r="P128" s="5" t="n">
        <x:f>MIN(O128,ROUND(I128/Vehiculos!$G$7*60+G128*8,0))</x:f>
        <x:v>213</x:v>
      </x:c>
      <x:c r="Q128" s="5" t="n">
        <x:f>O128-P128</x:f>
        <x:v>0</x:v>
      </x:c>
      <x:c r="R128" s="1" t="str">
        <x:v>P0217 &gt; P0066</x:v>
      </x:c>
      <x:c r="S128" s="1" t="str">
        <x:v>Arizona</x:v>
      </x:c>
      <x:c r="T128" s="1" t="n">
        <x:f>Parametros_Operacion!$B$2</x:f>
        <x:v>72.5</x:v>
      </x:c>
      <x:c r="U128" s="1" t="n">
        <x:v>9.15</x:v>
      </x:c>
      <x:c r="V128" s="1" t="n">
        <x:v>9.15</x:v>
      </x:c>
      <x:c r="W128" s="1" t="n">
        <x:f>T128</x:f>
        <x:v>72.5</x:v>
      </x:c>
    </x:row>
    <x:row r="129">
      <x:c r="A129" s="1" t="str">
        <x:v>RT-20260529-R007</x:v>
      </x:c>
      <x:c r="B129" s="1" t="str">
        <x:v>2026-05-29</x:v>
      </x:c>
      <x:c r="C129" s="1" t="str">
        <x:v>R007</x:v>
      </x:c>
      <x:c r="D129" s="1" t="str">
        <x:v>María Hernández</x:v>
      </x:c>
      <x:c r="E129" s="1" t="str">
        <x:v>V007</x:v>
      </x:c>
      <x:c r="F129" s="1" t="str">
        <x:v>Pickup con carrocería</x:v>
      </x:c>
      <x:c r="G129" s="1" t="n">
        <x:v>1</x:v>
      </x:c>
      <x:c r="H129" s="5" t="n">
        <x:f>ROUND(2*T129+U129,2)</x:f>
        <x:v>157.96</x:v>
      </x:c>
      <x:c r="I129" s="5" t="n">
        <x:f>MIN(H129,ROUND(T129+V129+W129,2))</x:f>
        <x:v>157.96</x:v>
      </x:c>
      <x:c r="J129" s="5" t="n">
        <x:f>ROUND(H129-I129,2)</x:f>
        <x:v>0</x:v>
      </x:c>
      <x:c r="K129" s="5" t="n">
        <x:f>IF(H129=0,0,ROUND(100*J129/H129,2))</x:f>
        <x:v>0</x:v>
      </x:c>
      <x:c r="L129" s="5" t="n">
        <x:f>SUMIF(Pedidos!$L$2:$L$231,A129,Pedidos!$Q$2:$Q$231)</x:f>
        <x:v>602.23</x:v>
      </x:c>
      <x:c r="M129" s="5" t="n">
        <x:f>IF(J129=0,L129,MIN(L129,ROUND(I129/Vehiculos!$E$8*Vehiculos!$F$8,2)))</x:f>
        <x:v>602.23</x:v>
      </x:c>
      <x:c r="N129" s="5" t="n">
        <x:f>ROUND(L129-M129,2)</x:f>
        <x:v>0</x:v>
      </x:c>
      <x:c r="O129" s="5" t="n">
        <x:f>ROUND(H129/Vehiculos!$G$8*60+G129*8,0)</x:f>
        <x:v>214</x:v>
      </x:c>
      <x:c r="P129" s="5" t="n">
        <x:f>MIN(O129,ROUND(I129/Vehiculos!$G$8*60+G129*8,0))</x:f>
        <x:v>214</x:v>
      </x:c>
      <x:c r="Q129" s="5" t="n">
        <x:f>O129-P129</x:f>
        <x:v>0</x:v>
      </x:c>
      <x:c r="R129" s="1" t="str">
        <x:v>P0205</x:v>
      </x:c>
      <x:c r="S129" s="1" t="str">
        <x:v>Esparta</x:v>
      </x:c>
      <x:c r="T129" s="1" t="n">
        <x:f>Parametros_Operacion!$B$4</x:f>
        <x:v>75.5</x:v>
      </x:c>
      <x:c r="U129" s="1" t="n">
        <x:v>6.96</x:v>
      </x:c>
      <x:c r="V129" s="1" t="n">
        <x:v>6.96</x:v>
      </x:c>
      <x:c r="W129" s="1" t="n">
        <x:f>T129</x:f>
        <x:v>75.5</x:v>
      </x:c>
    </x:row>
    <x:row r="130">
      <x:c r="A130" s="1" t="str">
        <x:v>RT-20260529-R008</x:v>
      </x:c>
      <x:c r="B130" s="1" t="str">
        <x:v>2026-05-29</x:v>
      </x:c>
      <x:c r="C130" s="1" t="str">
        <x:v>R008</x:v>
      </x:c>
      <x:c r="D130" s="1" t="str">
        <x:v>Jorge Castro</x:v>
      </x:c>
      <x:c r="E130" s="1" t="str">
        <x:v>V008</x:v>
      </x:c>
      <x:c r="F130" s="1" t="str">
        <x:v>Camión pequeño</x:v>
      </x:c>
      <x:c r="G130" s="1" t="n">
        <x:v>1</x:v>
      </x:c>
      <x:c r="H130" s="5" t="n">
        <x:f>ROUND(2*T130+U130,2)</x:f>
        <x:v>36.02</x:v>
      </x:c>
      <x:c r="I130" s="5" t="n">
        <x:f>MIN(H130,ROUND(T130+V130+W130,2))</x:f>
        <x:v>36.02</x:v>
      </x:c>
      <x:c r="J130" s="5" t="n">
        <x:f>ROUND(H130-I130,2)</x:f>
        <x:v>0</x:v>
      </x:c>
      <x:c r="K130" s="5" t="n">
        <x:f>IF(H130=0,0,ROUND(100*J130/H130,2))</x:f>
        <x:v>0</x:v>
      </x:c>
      <x:c r="L130" s="5" t="n">
        <x:f>SUMIF(Pedidos!$L$2:$L$231,A130,Pedidos!$Q$2:$Q$231)</x:f>
        <x:v>183.1</x:v>
      </x:c>
      <x:c r="M130" s="5" t="n">
        <x:f>IF(J130=0,L130,MIN(L130,ROUND(I130/Vehiculos!$E$9*Vehiculos!$F$9,2)))</x:f>
        <x:v>183.1</x:v>
      </x:c>
      <x:c r="N130" s="5" t="n">
        <x:f>ROUND(L130-M130,2)</x:f>
        <x:v>0</x:v>
      </x:c>
      <x:c r="O130" s="5" t="n">
        <x:f>ROUND(H130/Vehiculos!$G$9*60+G130*8,0)</x:f>
        <x:v>59</x:v>
      </x:c>
      <x:c r="P130" s="5" t="n">
        <x:f>MIN(O130,ROUND(I130/Vehiculos!$G$9*60+G130*8,0))</x:f>
        <x:v>59</x:v>
      </x:c>
      <x:c r="Q130" s="5" t="n">
        <x:f>O130-P130</x:f>
        <x:v>0</x:v>
      </x:c>
      <x:c r="R130" s="1" t="str">
        <x:v>P0124</x:v>
      </x:c>
      <x:c r="S130" s="1" t="str">
        <x:v>El Porvenir</x:v>
      </x:c>
      <x:c r="T130" s="1" t="n">
        <x:f>Parametros_Operacion!$B$3</x:f>
        <x:v>16.5</x:v>
      </x:c>
      <x:c r="U130" s="1" t="n">
        <x:v>3.02</x:v>
      </x:c>
      <x:c r="V130" s="1" t="n">
        <x:v>3.02</x:v>
      </x:c>
      <x:c r="W130" s="1" t="n">
        <x:f>T130</x:f>
        <x:v>16.5</x:v>
      </x:c>
    </x:row>
    <x:row r="131">
      <x:c r="A131" s="1" t="str">
        <x:v>RT-20260530-R001</x:v>
      </x:c>
      <x:c r="B131" s="1" t="str">
        <x:v>2026-05-30</x:v>
      </x:c>
      <x:c r="C131" s="1" t="str">
        <x:v>R001</x:v>
      </x:c>
      <x:c r="D131" s="1" t="str">
        <x:v>Carlos Mejía</x:v>
      </x:c>
      <x:c r="E131" s="1" t="str">
        <x:v>V001</x:v>
      </x:c>
      <x:c r="F131" s="1" t="str">
        <x:v>Pickup con carrocería</x:v>
      </x:c>
      <x:c r="G131" s="1" t="n">
        <x:v>1</x:v>
      </x:c>
      <x:c r="H131" s="5" t="n">
        <x:f>ROUND(2*T131+U131,2)</x:f>
        <x:v>10.34</x:v>
      </x:c>
      <x:c r="I131" s="5" t="n">
        <x:f>MIN(H131,ROUND(T131+V131+W131,2))</x:f>
        <x:v>10.34</x:v>
      </x:c>
      <x:c r="J131" s="5" t="n">
        <x:f>ROUND(H131-I131,2)</x:f>
        <x:v>0</x:v>
      </x:c>
      <x:c r="K131" s="5" t="n">
        <x:f>IF(H131=0,0,ROUND(100*J131/H131,2))</x:f>
        <x:v>0</x:v>
      </x:c>
      <x:c r="L131" s="5" t="n">
        <x:f>SUMIF(Pedidos!$L$2:$L$231,A131,Pedidos!$Q$2:$Q$231)</x:f>
        <x:v>35.84</x:v>
      </x:c>
      <x:c r="M131" s="5" t="n">
        <x:f>IF(J131=0,L131,MIN(L131,ROUND(I131/Vehiculos!$E$2*Vehiculos!$F$2,2)))</x:f>
        <x:v>35.84</x:v>
      </x:c>
      <x:c r="N131" s="5" t="n">
        <x:f>ROUND(L131-M131,2)</x:f>
        <x:v>0</x:v>
      </x:c>
      <x:c r="O131" s="5" t="n">
        <x:f>ROUND(H131/Vehiculos!$G$2*60+G131*8,0)</x:f>
        <x:v>20</x:v>
      </x:c>
      <x:c r="P131" s="5" t="n">
        <x:f>MIN(O131,ROUND(I131/Vehiculos!$G$2*60+G131*8,0))</x:f>
        <x:v>20</x:v>
      </x:c>
      <x:c r="Q131" s="5" t="n">
        <x:f>O131-P131</x:f>
        <x:v>0</x:v>
      </x:c>
      <x:c r="R131" s="1" t="str">
        <x:v>P0223</x:v>
      </x:c>
      <x:c r="S131" s="1" t="str">
        <x:v>La Ceiba</x:v>
      </x:c>
      <x:c r="T131" s="1" t="n">
        <x:f>Parametros_Operacion!$B$6</x:f>
        <x:v>0</x:v>
      </x:c>
      <x:c r="U131" s="1" t="n">
        <x:v>10.34</x:v>
      </x:c>
      <x:c r="V131" s="1" t="n">
        <x:v>10.34</x:v>
      </x:c>
      <x:c r="W131" s="1" t="n">
        <x:f>T131</x:f>
        <x:v>0</x:v>
      </x:c>
    </x:row>
    <x:row r="132">
      <x:c r="A132" s="1" t="str">
        <x:v>RT-20260530-R003</x:v>
      </x:c>
      <x:c r="B132" s="1" t="str">
        <x:v>2026-05-30</x:v>
      </x:c>
      <x:c r="C132" s="1" t="str">
        <x:v>R003</x:v>
      </x:c>
      <x:c r="D132" s="1" t="str">
        <x:v>Luis Ramírez</x:v>
      </x:c>
      <x:c r="E132" s="1" t="str">
        <x:v>V003</x:v>
      </x:c>
      <x:c r="F132" s="1" t="str">
        <x:v>Pickup con carrocería</x:v>
      </x:c>
      <x:c r="G132" s="1" t="n">
        <x:v>1</x:v>
      </x:c>
      <x:c r="H132" s="5" t="n">
        <x:f>ROUND(2*T132+U132,2)</x:f>
        <x:v>67.46</x:v>
      </x:c>
      <x:c r="I132" s="5" t="n">
        <x:f>MIN(H132,ROUND(T132+V132+W132,2))</x:f>
        <x:v>67.46</x:v>
      </x:c>
      <x:c r="J132" s="5" t="n">
        <x:f>ROUND(H132-I132,2)</x:f>
        <x:v>0</x:v>
      </x:c>
      <x:c r="K132" s="5" t="n">
        <x:f>IF(H132=0,0,ROUND(100*J132/H132,2))</x:f>
        <x:v>0</x:v>
      </x:c>
      <x:c r="L132" s="5" t="n">
        <x:f>SUMIF(Pedidos!$L$2:$L$231,A132,Pedidos!$Q$2:$Q$231)</x:f>
        <x:v>257.19</x:v>
      </x:c>
      <x:c r="M132" s="5" t="n">
        <x:f>IF(J132=0,L132,MIN(L132,ROUND(I132/Vehiculos!$E$4*Vehiculos!$F$4,2)))</x:f>
        <x:v>257.19</x:v>
      </x:c>
      <x:c r="N132" s="5" t="n">
        <x:f>ROUND(L132-M132,2)</x:f>
        <x:v>0</x:v>
      </x:c>
      <x:c r="O132" s="5" t="n">
        <x:f>ROUND(H132/Vehiculos!$G$4*60+G132*8,0)</x:f>
        <x:v>94</x:v>
      </x:c>
      <x:c r="P132" s="5" t="n">
        <x:f>MIN(O132,ROUND(I132/Vehiculos!$G$4*60+G132*8,0))</x:f>
        <x:v>94</x:v>
      </x:c>
      <x:c r="Q132" s="5" t="n">
        <x:f>O132-P132</x:f>
        <x:v>0</x:v>
      </x:c>
      <x:c r="R132" s="1" t="str">
        <x:v>P0224</x:v>
      </x:c>
      <x:c r="S132" s="1" t="str">
        <x:v>Jutiapa</x:v>
      </x:c>
      <x:c r="T132" s="1" t="n">
        <x:f>Parametros_Operacion!$B$5</x:f>
        <x:v>31.4</x:v>
      </x:c>
      <x:c r="U132" s="1" t="n">
        <x:v>4.66</x:v>
      </x:c>
      <x:c r="V132" s="1" t="n">
        <x:v>4.66</x:v>
      </x:c>
      <x:c r="W132" s="1" t="n">
        <x:f>T132</x:f>
        <x:v>31.4</x:v>
      </x:c>
    </x:row>
    <x:row r="133">
      <x:c r="A133" s="1" t="str">
        <x:v>RT-20260530-R004</x:v>
      </x:c>
      <x:c r="B133" s="1" t="str">
        <x:v>2026-05-30</x:v>
      </x:c>
      <x:c r="C133" s="1" t="str">
        <x:v>R004</x:v>
      </x:c>
      <x:c r="D133" s="1" t="str">
        <x:v>Daniela Cruz</x:v>
      </x:c>
      <x:c r="E133" s="1" t="str">
        <x:v>V004</x:v>
      </x:c>
      <x:c r="F133" s="1" t="str">
        <x:v>Pickup con carrocería</x:v>
      </x:c>
      <x:c r="G133" s="1" t="n">
        <x:v>2</x:v>
      </x:c>
      <x:c r="H133" s="5" t="n">
        <x:f>ROUND(2*T133+U133,2)</x:f>
        <x:v>94.21</x:v>
      </x:c>
      <x:c r="I133" s="5" t="n">
        <x:f>MIN(H133,ROUND(T133+V133+W133,2))</x:f>
        <x:v>94.21</x:v>
      </x:c>
      <x:c r="J133" s="5" t="n">
        <x:f>ROUND(H133-I133,2)</x:f>
        <x:v>0</x:v>
      </x:c>
      <x:c r="K133" s="5" t="n">
        <x:f>IF(H133=0,0,ROUND(100*J133/H133,2))</x:f>
        <x:v>0</x:v>
      </x:c>
      <x:c r="L133" s="5" t="n">
        <x:f>SUMIF(Pedidos!$L$2:$L$231,A133,Pedidos!$Q$2:$Q$231)</x:f>
        <x:v>342.08000000000004</x:v>
      </x:c>
      <x:c r="M133" s="5" t="n">
        <x:f>IF(J133=0,L133,MIN(L133,ROUND(I133/Vehiculos!$E$5*Vehiculos!$F$5,2)))</x:f>
        <x:v>342.08000000000004</x:v>
      </x:c>
      <x:c r="N133" s="5" t="n">
        <x:f>ROUND(L133-M133,2)</x:f>
        <x:v>0</x:v>
      </x:c>
      <x:c r="O133" s="5" t="n">
        <x:f>ROUND(H133/Vehiculos!$G$5*60+G133*8,0)</x:f>
        <x:v>131</x:v>
      </x:c>
      <x:c r="P133" s="5" t="n">
        <x:f>MIN(O133,ROUND(I133/Vehiculos!$G$5*60+G133*8,0))</x:f>
        <x:v>131</x:v>
      </x:c>
      <x:c r="Q133" s="5" t="n">
        <x:f>O133-P133</x:f>
        <x:v>0</x:v>
      </x:c>
      <x:c r="R133" s="1" t="str">
        <x:v>P0112 &gt; P0195</x:v>
      </x:c>
      <x:c r="S133" s="1" t="str">
        <x:v>La Masica</x:v>
      </x:c>
      <x:c r="T133" s="1" t="n">
        <x:f>Parametros_Operacion!$B$7</x:f>
        <x:v>41.2</x:v>
      </x:c>
      <x:c r="U133" s="1" t="n">
        <x:v>11.81</x:v>
      </x:c>
      <x:c r="V133" s="1" t="n">
        <x:v>11.81</x:v>
      </x:c>
      <x:c r="W133" s="1" t="n">
        <x:f>T133</x:f>
        <x:v>41.2</x:v>
      </x:c>
    </x:row>
    <x:row r="134">
      <x:c r="A134" s="1" t="str">
        <x:v>RT-20260530-R007</x:v>
      </x:c>
      <x:c r="B134" s="1" t="str">
        <x:v>2026-05-30</x:v>
      </x:c>
      <x:c r="C134" s="1" t="str">
        <x:v>R007</x:v>
      </x:c>
      <x:c r="D134" s="1" t="str">
        <x:v>María Hernández</x:v>
      </x:c>
      <x:c r="E134" s="1" t="str">
        <x:v>V007</x:v>
      </x:c>
      <x:c r="F134" s="1" t="str">
        <x:v>Pickup con carrocería</x:v>
      </x:c>
      <x:c r="G134" s="1" t="n">
        <x:v>2</x:v>
      </x:c>
      <x:c r="H134" s="5" t="n">
        <x:f>ROUND(2*T134+U134,2)</x:f>
        <x:v>163.85</x:v>
      </x:c>
      <x:c r="I134" s="5" t="n">
        <x:f>MIN(H134,ROUND(T134+V134+W134,2))</x:f>
        <x:v>163.85</x:v>
      </x:c>
      <x:c r="J134" s="5" t="n">
        <x:f>ROUND(H134-I134,2)</x:f>
        <x:v>0</x:v>
      </x:c>
      <x:c r="K134" s="5" t="n">
        <x:f>IF(H134=0,0,ROUND(100*J134/H134,2))</x:f>
        <x:v>0</x:v>
      </x:c>
      <x:c r="L134" s="5" t="n">
        <x:f>SUMIF(Pedidos!$L$2:$L$231,A134,Pedidos!$Q$2:$Q$231)</x:f>
        <x:v>624.6800000000001</x:v>
      </x:c>
      <x:c r="M134" s="5" t="n">
        <x:f>IF(J134=0,L134,MIN(L134,ROUND(I134/Vehiculos!$E$8*Vehiculos!$F$8,2)))</x:f>
        <x:v>624.6800000000001</x:v>
      </x:c>
      <x:c r="N134" s="5" t="n">
        <x:f>ROUND(L134-M134,2)</x:f>
        <x:v>0</x:v>
      </x:c>
      <x:c r="O134" s="5" t="n">
        <x:f>ROUND(H134/Vehiculos!$G$8*60+G134*8,0)</x:f>
        <x:v>230</x:v>
      </x:c>
      <x:c r="P134" s="5" t="n">
        <x:f>MIN(O134,ROUND(I134/Vehiculos!$G$8*60+G134*8,0))</x:f>
        <x:v>230</x:v>
      </x:c>
      <x:c r="Q134" s="5" t="n">
        <x:f>O134-P134</x:f>
        <x:v>0</x:v>
      </x:c>
      <x:c r="R134" s="1" t="str">
        <x:v>P0051 &gt; P0213</x:v>
      </x:c>
      <x:c r="S134" s="1" t="str">
        <x:v>Esparta</x:v>
      </x:c>
      <x:c r="T134" s="1" t="n">
        <x:f>Parametros_Operacion!$B$4</x:f>
        <x:v>75.5</x:v>
      </x:c>
      <x:c r="U134" s="1" t="n">
        <x:v>12.85</x:v>
      </x:c>
      <x:c r="V134" s="1" t="n">
        <x:v>12.85</x:v>
      </x:c>
      <x:c r="W134" s="1" t="n">
        <x:f>T134</x:f>
        <x:v>75.5</x:v>
      </x:c>
    </x:row>
    <x:row r="135">
      <x:c r="A135" s="1" t="str">
        <x:v>RT-20260531-R002</x:v>
      </x:c>
      <x:c r="B135" s="1" t="str">
        <x:v>2026-05-31</x:v>
      </x:c>
      <x:c r="C135" s="1" t="str">
        <x:v>R002</x:v>
      </x:c>
      <x:c r="D135" s="1" t="str">
        <x:v>Ana López</x:v>
      </x:c>
      <x:c r="E135" s="1" t="str">
        <x:v>V002</x:v>
      </x:c>
      <x:c r="F135" s="1" t="str">
        <x:v>Pickup con carrocería</x:v>
      </x:c>
      <x:c r="G135" s="1" t="n">
        <x:v>1</x:v>
      </x:c>
      <x:c r="H135" s="5" t="n">
        <x:f>ROUND(2*T135+U135,2)</x:f>
        <x:v>210.46</x:v>
      </x:c>
      <x:c r="I135" s="5" t="n">
        <x:f>MIN(H135,ROUND(T135+V135+W135,2))</x:f>
        <x:v>210.46</x:v>
      </x:c>
      <x:c r="J135" s="5" t="n">
        <x:f>ROUND(H135-I135,2)</x:f>
        <x:v>0</x:v>
      </x:c>
      <x:c r="K135" s="5" t="n">
        <x:f>IF(H135=0,0,ROUND(100*J135/H135,2))</x:f>
        <x:v>0</x:v>
      </x:c>
      <x:c r="L135" s="5" t="n">
        <x:f>SUMIF(Pedidos!$L$2:$L$231,A135,Pedidos!$Q$2:$Q$231)</x:f>
        <x:v>764.18</x:v>
      </x:c>
      <x:c r="M135" s="5" t="n">
        <x:f>IF(J135=0,L135,MIN(L135,ROUND(I135/Vehiculos!$E$3*Vehiculos!$F$3,2)))</x:f>
        <x:v>764.18</x:v>
      </x:c>
      <x:c r="N135" s="5" t="n">
        <x:f>ROUND(L135-M135,2)</x:f>
        <x:v>0</x:v>
      </x:c>
      <x:c r="O135" s="5" t="n">
        <x:f>ROUND(H135/Vehiculos!$G$3*60+G135*8,0)</x:f>
        <x:v>271</x:v>
      </x:c>
      <x:c r="P135" s="5" t="n">
        <x:f>MIN(O135,ROUND(I135/Vehiculos!$G$3*60+G135*8,0))</x:f>
        <x:v>271</x:v>
      </x:c>
      <x:c r="Q135" s="5" t="n">
        <x:f>O135-P135</x:f>
        <x:v>0</x:v>
      </x:c>
      <x:c r="R135" s="1" t="str">
        <x:v>P0216</x:v>
      </x:c>
      <x:c r="S135" s="1" t="str">
        <x:v>Tela</x:v>
      </x:c>
      <x:c r="T135" s="1" t="n">
        <x:f>Parametros_Operacion!$B$9</x:f>
        <x:v>102.3</x:v>
      </x:c>
      <x:c r="U135" s="1" t="n">
        <x:v>5.86</x:v>
      </x:c>
      <x:c r="V135" s="1" t="n">
        <x:v>5.86</x:v>
      </x:c>
      <x:c r="W135" s="1" t="n">
        <x:f>T135</x:f>
        <x:v>102.3</x:v>
      </x:c>
    </x:row>
    <x:row r="136">
      <x:c r="A136" s="1" t="str">
        <x:v>RT-20260531-R004</x:v>
      </x:c>
      <x:c r="B136" s="1" t="str">
        <x:v>2026-05-31</x:v>
      </x:c>
      <x:c r="C136" s="1" t="str">
        <x:v>R004</x:v>
      </x:c>
      <x:c r="D136" s="1" t="str">
        <x:v>Daniela Cruz</x:v>
      </x:c>
      <x:c r="E136" s="1" t="str">
        <x:v>V004</x:v>
      </x:c>
      <x:c r="F136" s="1" t="str">
        <x:v>Pickup con carrocería</x:v>
      </x:c>
      <x:c r="G136" s="1" t="n">
        <x:v>3</x:v>
      </x:c>
      <x:c r="H136" s="5" t="n">
        <x:f>ROUND(2*T136+U136,2)</x:f>
        <x:v>99.75</x:v>
      </x:c>
      <x:c r="I136" s="5" t="n">
        <x:f>MIN(H136,ROUND(T136+V136+W136,2))</x:f>
        <x:v>99.75</x:v>
      </x:c>
      <x:c r="J136" s="5" t="n">
        <x:f>ROUND(H136-I136,2)</x:f>
        <x:v>0</x:v>
      </x:c>
      <x:c r="K136" s="5" t="n">
        <x:f>IF(H136=0,0,ROUND(100*J136/H136,2))</x:f>
        <x:v>0</x:v>
      </x:c>
      <x:c r="L136" s="5" t="n">
        <x:f>SUMIF(Pedidos!$L$2:$L$231,A136,Pedidos!$Q$2:$Q$231)</x:f>
        <x:v>362.20000000000005</x:v>
      </x:c>
      <x:c r="M136" s="5" t="n">
        <x:f>IF(J136=0,L136,MIN(L136,ROUND(I136/Vehiculos!$E$5*Vehiculos!$F$5,2)))</x:f>
        <x:v>362.20000000000005</x:v>
      </x:c>
      <x:c r="N136" s="5" t="n">
        <x:f>ROUND(L136-M136,2)</x:f>
        <x:v>0</x:v>
      </x:c>
      <x:c r="O136" s="5" t="n">
        <x:f>ROUND(H136/Vehiculos!$G$5*60+G136*8,0)</x:f>
        <x:v>146</x:v>
      </x:c>
      <x:c r="P136" s="5" t="n">
        <x:f>MIN(O136,ROUND(I136/Vehiculos!$G$5*60+G136*8,0))</x:f>
        <x:v>146</x:v>
      </x:c>
      <x:c r="Q136" s="5" t="n">
        <x:f>O136-P136</x:f>
        <x:v>0</x:v>
      </x:c>
      <x:c r="R136" s="1" t="str">
        <x:v>P0227 &gt; P0201 &gt; P0219</x:v>
      </x:c>
      <x:c r="S136" s="1" t="str">
        <x:v>La Masica</x:v>
      </x:c>
      <x:c r="T136" s="1" t="n">
        <x:f>Parametros_Operacion!$B$7</x:f>
        <x:v>41.2</x:v>
      </x:c>
      <x:c r="U136" s="1" t="n">
        <x:v>17.35</x:v>
      </x:c>
      <x:c r="V136" s="1" t="n">
        <x:v>17.35</x:v>
      </x:c>
      <x:c r="W136" s="1" t="n">
        <x:f>T136</x:f>
        <x:v>41.2</x:v>
      </x:c>
    </x:row>
    <x:row r="137">
      <x:c r="A137" s="1" t="str">
        <x:v>RT-20260601-R001</x:v>
      </x:c>
      <x:c r="B137" s="1" t="str">
        <x:v>2026-06-01</x:v>
      </x:c>
      <x:c r="C137" s="1" t="str">
        <x:v>R001</x:v>
      </x:c>
      <x:c r="D137" s="1" t="str">
        <x:v>Carlos Mejía</x:v>
      </x:c>
      <x:c r="E137" s="1" t="str">
        <x:v>V001</x:v>
      </x:c>
      <x:c r="F137" s="1" t="str">
        <x:v>Pickup con carrocería</x:v>
      </x:c>
      <x:c r="G137" s="1" t="n">
        <x:v>2</x:v>
      </x:c>
      <x:c r="H137" s="5" t="n">
        <x:f>ROUND(2*T137+U137,2)</x:f>
        <x:v>13.91</x:v>
      </x:c>
      <x:c r="I137" s="5" t="n">
        <x:f>MIN(H137,ROUND(T137+V137+W137,2))</x:f>
        <x:v>13.91</x:v>
      </x:c>
      <x:c r="J137" s="5" t="n">
        <x:f>ROUND(H137-I137,2)</x:f>
        <x:v>0</x:v>
      </x:c>
      <x:c r="K137" s="5" t="n">
        <x:f>IF(H137=0,0,ROUND(100*J137/H137,2))</x:f>
        <x:v>0</x:v>
      </x:c>
      <x:c r="L137" s="5" t="n">
        <x:f>SUMIF(Pedidos!$L$2:$L$231,A137,Pedidos!$Q$2:$Q$231)</x:f>
        <x:v>48.21</x:v>
      </x:c>
      <x:c r="M137" s="5" t="n">
        <x:f>IF(J137=0,L137,MIN(L137,ROUND(I137/Vehiculos!$E$2*Vehiculos!$F$2,2)))</x:f>
        <x:v>48.21</x:v>
      </x:c>
      <x:c r="N137" s="5" t="n">
        <x:f>ROUND(L137-M137,2)</x:f>
        <x:v>0</x:v>
      </x:c>
      <x:c r="O137" s="5" t="n">
        <x:f>ROUND(H137/Vehiculos!$G$2*60+G137*8,0)</x:f>
        <x:v>33</x:v>
      </x:c>
      <x:c r="P137" s="5" t="n">
        <x:f>MIN(O137,ROUND(I137/Vehiculos!$G$2*60+G137*8,0))</x:f>
        <x:v>33</x:v>
      </x:c>
      <x:c r="Q137" s="5" t="n">
        <x:f>O137-P137</x:f>
        <x:v>0</x:v>
      </x:c>
      <x:c r="R137" s="1" t="str">
        <x:v>P0230 &gt; P0069</x:v>
      </x:c>
      <x:c r="S137" s="1" t="str">
        <x:v>La Ceiba</x:v>
      </x:c>
      <x:c r="T137" s="1" t="n">
        <x:f>Parametros_Operacion!$B$6</x:f>
        <x:v>0</x:v>
      </x:c>
      <x:c r="U137" s="1" t="n">
        <x:v>13.91</x:v>
      </x:c>
      <x:c r="V137" s="1" t="n">
        <x:v>13.91</x:v>
      </x:c>
      <x:c r="W137" s="1" t="n">
        <x:f>T137</x:f>
        <x:v>0</x:v>
      </x:c>
    </x:row>
    <x:row r="138">
      <x:c r="A138" s="1" t="str">
        <x:v>RT-20260601-R003</x:v>
      </x:c>
      <x:c r="B138" s="1" t="str">
        <x:v>2026-06-01</x:v>
      </x:c>
      <x:c r="C138" s="1" t="str">
        <x:v>R003</x:v>
      </x:c>
      <x:c r="D138" s="1" t="str">
        <x:v>Luis Ramírez</x:v>
      </x:c>
      <x:c r="E138" s="1" t="str">
        <x:v>V003</x:v>
      </x:c>
      <x:c r="F138" s="1" t="str">
        <x:v>Pickup con carrocería</x:v>
      </x:c>
      <x:c r="G138" s="1" t="n">
        <x:v>1</x:v>
      </x:c>
      <x:c r="H138" s="5" t="n">
        <x:f>ROUND(2*T138+U138,2)</x:f>
        <x:v>74.54</x:v>
      </x:c>
      <x:c r="I138" s="5" t="n">
        <x:f>MIN(H138,ROUND(T138+V138+W138,2))</x:f>
        <x:v>74.54</x:v>
      </x:c>
      <x:c r="J138" s="5" t="n">
        <x:f>ROUND(H138-I138,2)</x:f>
        <x:v>0</x:v>
      </x:c>
      <x:c r="K138" s="5" t="n">
        <x:f>IF(H138=0,0,ROUND(100*J138/H138,2))</x:f>
        <x:v>0</x:v>
      </x:c>
      <x:c r="L138" s="5" t="n">
        <x:f>SUMIF(Pedidos!$L$2:$L$231,A138,Pedidos!$Q$2:$Q$231)</x:f>
        <x:v>284.19</x:v>
      </x:c>
      <x:c r="M138" s="5" t="n">
        <x:f>IF(J138=0,L138,MIN(L138,ROUND(I138/Vehiculos!$E$4*Vehiculos!$F$4,2)))</x:f>
        <x:v>284.19</x:v>
      </x:c>
      <x:c r="N138" s="5" t="n">
        <x:f>ROUND(L138-M138,2)</x:f>
        <x:v>0</x:v>
      </x:c>
      <x:c r="O138" s="5" t="n">
        <x:f>ROUND(H138/Vehiculos!$G$4*60+G138*8,0)</x:f>
        <x:v>103</x:v>
      </x:c>
      <x:c r="P138" s="5" t="n">
        <x:f>MIN(O138,ROUND(I138/Vehiculos!$G$4*60+G138*8,0))</x:f>
        <x:v>103</x:v>
      </x:c>
      <x:c r="Q138" s="5" t="n">
        <x:f>O138-P138</x:f>
        <x:v>0</x:v>
      </x:c>
      <x:c r="R138" s="1" t="str">
        <x:v>P0220</x:v>
      </x:c>
      <x:c r="S138" s="1" t="str">
        <x:v>Jutiapa</x:v>
      </x:c>
      <x:c r="T138" s="1" t="n">
        <x:f>Parametros_Operacion!$B$5</x:f>
        <x:v>31.4</x:v>
      </x:c>
      <x:c r="U138" s="1" t="n">
        <x:v>11.74</x:v>
      </x:c>
      <x:c r="V138" s="1" t="n">
        <x:v>11.74</x:v>
      </x:c>
      <x:c r="W138" s="1" t="n">
        <x:f>T138</x:f>
        <x:v>31.4</x:v>
      </x:c>
    </x:row>
    <x:row r="139">
      <x:c r="A139" s="1" t="str">
        <x:v>RT-20260601-R004</x:v>
      </x:c>
      <x:c r="B139" s="1" t="str">
        <x:v>2026-06-01</x:v>
      </x:c>
      <x:c r="C139" s="1" t="str">
        <x:v>R004</x:v>
      </x:c>
      <x:c r="D139" s="1" t="str">
        <x:v>Daniela Cruz</x:v>
      </x:c>
      <x:c r="E139" s="1" t="str">
        <x:v>V004</x:v>
      </x:c>
      <x:c r="F139" s="1" t="str">
        <x:v>Pickup con carrocería</x:v>
      </x:c>
      <x:c r="G139" s="1" t="n">
        <x:v>1</x:v>
      </x:c>
      <x:c r="H139" s="5" t="n">
        <x:f>ROUND(2*T139+U139,2)</x:f>
        <x:v>85.84</x:v>
      </x:c>
      <x:c r="I139" s="5" t="n">
        <x:f>MIN(H139,ROUND(T139+V139+W139,2))</x:f>
        <x:v>85.84</x:v>
      </x:c>
      <x:c r="J139" s="5" t="n">
        <x:f>ROUND(H139-I139,2)</x:f>
        <x:v>0</x:v>
      </x:c>
      <x:c r="K139" s="5" t="n">
        <x:f>IF(H139=0,0,ROUND(100*J139/H139,2))</x:f>
        <x:v>0</x:v>
      </x:c>
      <x:c r="L139" s="5" t="n">
        <x:f>SUMIF(Pedidos!$L$2:$L$231,A139,Pedidos!$Q$2:$Q$231)</x:f>
        <x:v>311.68</x:v>
      </x:c>
      <x:c r="M139" s="5" t="n">
        <x:f>IF(J139=0,L139,MIN(L139,ROUND(I139/Vehiculos!$E$5*Vehiculos!$F$5,2)))</x:f>
        <x:v>311.68</x:v>
      </x:c>
      <x:c r="N139" s="5" t="n">
        <x:f>ROUND(L139-M139,2)</x:f>
        <x:v>0</x:v>
      </x:c>
      <x:c r="O139" s="5" t="n">
        <x:f>ROUND(H139/Vehiculos!$G$5*60+G139*8,0)</x:f>
        <x:v>113</x:v>
      </x:c>
      <x:c r="P139" s="5" t="n">
        <x:f>MIN(O139,ROUND(I139/Vehiculos!$G$5*60+G139*8,0))</x:f>
        <x:v>113</x:v>
      </x:c>
      <x:c r="Q139" s="5" t="n">
        <x:f>O139-P139</x:f>
        <x:v>0</x:v>
      </x:c>
      <x:c r="R139" s="1" t="str">
        <x:v>P0229</x:v>
      </x:c>
      <x:c r="S139" s="1" t="str">
        <x:v>La Masica</x:v>
      </x:c>
      <x:c r="T139" s="1" t="n">
        <x:f>Parametros_Operacion!$B$7</x:f>
        <x:v>41.2</x:v>
      </x:c>
      <x:c r="U139" s="1" t="n">
        <x:v>3.44</x:v>
      </x:c>
      <x:c r="V139" s="1" t="n">
        <x:v>3.44</x:v>
      </x:c>
      <x:c r="W139" s="1" t="n">
        <x:f>T139</x:f>
        <x:v>41.2</x:v>
      </x:c>
    </x:row>
    <x:row r="140">
      <x:c r="A140" s="1" t="str">
        <x:v>RT-20260601-R006</x:v>
      </x:c>
      <x:c r="B140" s="1" t="str">
        <x:v>2026-06-01</x:v>
      </x:c>
      <x:c r="C140" s="1" t="str">
        <x:v>R006</x:v>
      </x:c>
      <x:c r="D140" s="1" t="str">
        <x:v>Kevin Flores</x:v>
      </x:c>
      <x:c r="E140" s="1" t="str">
        <x:v>V006</x:v>
      </x:c>
      <x:c r="F140" s="1" t="str">
        <x:v>Pickup con carrocería</x:v>
      </x:c>
      <x:c r="G140" s="1" t="n">
        <x:v>1</x:v>
      </x:c>
      <x:c r="H140" s="5" t="n">
        <x:f>ROUND(2*T140+U140,2)</x:f>
        <x:v>149.62</x:v>
      </x:c>
      <x:c r="I140" s="5" t="n">
        <x:f>MIN(H140,ROUND(T140+V140+W140,2))</x:f>
        <x:v>149.62</x:v>
      </x:c>
      <x:c r="J140" s="5" t="n">
        <x:f>ROUND(H140-I140,2)</x:f>
        <x:v>0</x:v>
      </x:c>
      <x:c r="K140" s="5" t="n">
        <x:f>IF(H140=0,0,ROUND(100*J140/H140,2))</x:f>
        <x:v>0</x:v>
      </x:c>
      <x:c r="L140" s="5" t="n">
        <x:f>SUMIF(Pedidos!$L$2:$L$231,A140,Pedidos!$Q$2:$Q$231)</x:f>
        <x:v>570.43</x:v>
      </x:c>
      <x:c r="M140" s="5" t="n">
        <x:f>IF(J140=0,L140,MIN(L140,ROUND(I140/Vehiculos!$E$7*Vehiculos!$F$7,2)))</x:f>
        <x:v>570.43</x:v>
      </x:c>
      <x:c r="N140" s="5" t="n">
        <x:f>ROUND(L140-M140,2)</x:f>
        <x:v>0</x:v>
      </x:c>
      <x:c r="O140" s="5" t="n">
        <x:f>ROUND(H140/Vehiculos!$G$7*60+G140*8,0)</x:f>
        <x:v>199</x:v>
      </x:c>
      <x:c r="P140" s="5" t="n">
        <x:f>MIN(O140,ROUND(I140/Vehiculos!$G$7*60+G140*8,0))</x:f>
        <x:v>199</x:v>
      </x:c>
      <x:c r="Q140" s="5" t="n">
        <x:f>O140-P140</x:f>
        <x:v>0</x:v>
      </x:c>
      <x:c r="R140" s="1" t="str">
        <x:v>P0129</x:v>
      </x:c>
      <x:c r="S140" s="1" t="str">
        <x:v>Arizona</x:v>
      </x:c>
      <x:c r="T140" s="1" t="n">
        <x:f>Parametros_Operacion!$B$2</x:f>
        <x:v>72.5</x:v>
      </x:c>
      <x:c r="U140" s="1" t="n">
        <x:v>4.62</x:v>
      </x:c>
      <x:c r="V140" s="1" t="n">
        <x:v>4.62</x:v>
      </x:c>
      <x:c r="W140" s="1" t="n">
        <x:f>T140</x:f>
        <x:v>72.5</x:v>
      </x:c>
    </x:row>
    <x:row r="141">
      <x:c r="A141" s="1" t="str">
        <x:v>RT-20260601-R007</x:v>
      </x:c>
      <x:c r="B141" s="1" t="str">
        <x:v>2026-06-01</x:v>
      </x:c>
      <x:c r="C141" s="1" t="str">
        <x:v>R007</x:v>
      </x:c>
      <x:c r="D141" s="1" t="str">
        <x:v>María Hernández</x:v>
      </x:c>
      <x:c r="E141" s="1" t="str">
        <x:v>V007</x:v>
      </x:c>
      <x:c r="F141" s="1" t="str">
        <x:v>Pickup con carrocería</x:v>
      </x:c>
      <x:c r="G141" s="1" t="n">
        <x:v>1</x:v>
      </x:c>
      <x:c r="H141" s="5" t="n">
        <x:f>ROUND(2*T141+U141,2)</x:f>
        <x:v>153.3</x:v>
      </x:c>
      <x:c r="I141" s="5" t="n">
        <x:f>MIN(H141,ROUND(T141+V141+W141,2))</x:f>
        <x:v>153.3</x:v>
      </x:c>
      <x:c r="J141" s="5" t="n">
        <x:f>ROUND(H141-I141,2)</x:f>
        <x:v>0</x:v>
      </x:c>
      <x:c r="K141" s="5" t="n">
        <x:f>IF(H141=0,0,ROUND(100*J141/H141,2))</x:f>
        <x:v>0</x:v>
      </x:c>
      <x:c r="L141" s="5" t="n">
        <x:f>SUMIF(Pedidos!$L$2:$L$231,A141,Pedidos!$Q$2:$Q$231)</x:f>
        <x:v>584.46</x:v>
      </x:c>
      <x:c r="M141" s="5" t="n">
        <x:f>IF(J141=0,L141,MIN(L141,ROUND(I141/Vehiculos!$E$8*Vehiculos!$F$8,2)))</x:f>
        <x:v>584.46</x:v>
      </x:c>
      <x:c r="N141" s="5" t="n">
        <x:f>ROUND(L141-M141,2)</x:f>
        <x:v>0</x:v>
      </x:c>
      <x:c r="O141" s="5" t="n">
        <x:f>ROUND(H141/Vehiculos!$G$8*60+G141*8,0)</x:f>
        <x:v>208</x:v>
      </x:c>
      <x:c r="P141" s="5" t="n">
        <x:f>MIN(O141,ROUND(I141/Vehiculos!$G$8*60+G141*8,0))</x:f>
        <x:v>208</x:v>
      </x:c>
      <x:c r="Q141" s="5" t="n">
        <x:f>O141-P141</x:f>
        <x:v>0</x:v>
      </x:c>
      <x:c r="R141" s="1" t="str">
        <x:v>P0214</x:v>
      </x:c>
      <x:c r="S141" s="1" t="str">
        <x:v>Esparta</x:v>
      </x:c>
      <x:c r="T141" s="1" t="n">
        <x:f>Parametros_Operacion!$B$4</x:f>
        <x:v>75.5</x:v>
      </x:c>
      <x:c r="U141" s="1" t="n">
        <x:v>2.3</x:v>
      </x:c>
      <x:c r="V141" s="1" t="n">
        <x:v>2.3</x:v>
      </x:c>
      <x:c r="W141" s="1" t="n">
        <x:f>T141</x:f>
        <x:v>75.5</x:v>
      </x:c>
    </x:row>
    <x:row r="142">
      <x:c r="A142" s="1" t="str">
        <x:v>RT-20260602-R001</x:v>
      </x:c>
      <x:c r="B142" s="1" t="str">
        <x:v>2026-06-02</x:v>
      </x:c>
      <x:c r="C142" s="1" t="str">
        <x:v>R001</x:v>
      </x:c>
      <x:c r="D142" s="1" t="str">
        <x:v>Carlos Mejía</x:v>
      </x:c>
      <x:c r="E142" s="1" t="str">
        <x:v>V001</x:v>
      </x:c>
      <x:c r="F142" s="1" t="str">
        <x:v>Pickup con carrocería</x:v>
      </x:c>
      <x:c r="G142" s="1" t="n">
        <x:v>1</x:v>
      </x:c>
      <x:c r="H142" s="5" t="n">
        <x:f>ROUND(2*T142+U142,2)</x:f>
        <x:v>9.32</x:v>
      </x:c>
      <x:c r="I142" s="5" t="n">
        <x:f>MIN(H142,ROUND(T142+V142+W142,2))</x:f>
        <x:v>9.32</x:v>
      </x:c>
      <x:c r="J142" s="5" t="n">
        <x:f>ROUND(H142-I142,2)</x:f>
        <x:v>0</x:v>
      </x:c>
      <x:c r="K142" s="5" t="n">
        <x:f>IF(H142=0,0,ROUND(100*J142/H142,2))</x:f>
        <x:v>0</x:v>
      </x:c>
      <x:c r="L142" s="5" t="n">
        <x:f>SUMIF(Pedidos!$L$2:$L$231,A142,Pedidos!$Q$2:$Q$231)</x:f>
        <x:v>32.3</x:v>
      </x:c>
      <x:c r="M142" s="5" t="n">
        <x:f>IF(J142=0,L142,MIN(L142,ROUND(I142/Vehiculos!$E$2*Vehiculos!$F$2,2)))</x:f>
        <x:v>32.3</x:v>
      </x:c>
      <x:c r="N142" s="5" t="n">
        <x:f>ROUND(L142-M142,2)</x:f>
        <x:v>0</x:v>
      </x:c>
      <x:c r="O142" s="5" t="n">
        <x:f>ROUND(H142/Vehiculos!$G$2*60+G142*8,0)</x:f>
        <x:v>19</x:v>
      </x:c>
      <x:c r="P142" s="5" t="n">
        <x:f>MIN(O142,ROUND(I142/Vehiculos!$G$2*60+G142*8,0))</x:f>
        <x:v>19</x:v>
      </x:c>
      <x:c r="Q142" s="5" t="n">
        <x:f>O142-P142</x:f>
        <x:v>0</x:v>
      </x:c>
      <x:c r="R142" s="1" t="str">
        <x:v>P0226</x:v>
      </x:c>
      <x:c r="S142" s="1" t="str">
        <x:v>La Ceiba</x:v>
      </x:c>
      <x:c r="T142" s="1" t="n">
        <x:f>Parametros_Operacion!$B$6</x:f>
        <x:v>0</x:v>
      </x:c>
      <x:c r="U142" s="1" t="n">
        <x:v>9.32</x:v>
      </x:c>
      <x:c r="V142" s="1" t="n">
        <x:v>9.32</x:v>
      </x:c>
      <x:c r="W142" s="1" t="n">
        <x:f>T142</x:f>
        <x:v>0</x:v>
      </x:c>
    </x:row>
    <x:row r="143">
      <x:c r="A143" s="1" t="str">
        <x:v>RT-20260602-R004</x:v>
      </x:c>
      <x:c r="B143" s="1" t="str">
        <x:v>2026-06-02</x:v>
      </x:c>
      <x:c r="C143" s="1" t="str">
        <x:v>R004</x:v>
      </x:c>
      <x:c r="D143" s="1" t="str">
        <x:v>Daniela Cruz</x:v>
      </x:c>
      <x:c r="E143" s="1" t="str">
        <x:v>V004</x:v>
      </x:c>
      <x:c r="F143" s="1" t="str">
        <x:v>Pickup con carrocería</x:v>
      </x:c>
      <x:c r="G143" s="1" t="n">
        <x:v>1</x:v>
      </x:c>
      <x:c r="H143" s="5" t="n">
        <x:f>ROUND(2*T143+U143,2)</x:f>
        <x:v>86.2</x:v>
      </x:c>
      <x:c r="I143" s="5" t="n">
        <x:f>MIN(H143,ROUND(T143+V143+W143,2))</x:f>
        <x:v>86.2</x:v>
      </x:c>
      <x:c r="J143" s="5" t="n">
        <x:f>ROUND(H143-I143,2)</x:f>
        <x:v>0</x:v>
      </x:c>
      <x:c r="K143" s="5" t="n">
        <x:f>IF(H143=0,0,ROUND(100*J143/H143,2))</x:f>
        <x:v>0</x:v>
      </x:c>
      <x:c r="L143" s="5" t="n">
        <x:f>SUMIF(Pedidos!$L$2:$L$231,A143,Pedidos!$Q$2:$Q$231)</x:f>
        <x:v>312.99</x:v>
      </x:c>
      <x:c r="M143" s="5" t="n">
        <x:f>IF(J143=0,L143,MIN(L143,ROUND(I143/Vehiculos!$E$5*Vehiculos!$F$5,2)))</x:f>
        <x:v>312.99</x:v>
      </x:c>
      <x:c r="N143" s="5" t="n">
        <x:f>ROUND(L143-M143,2)</x:f>
        <x:v>0</x:v>
      </x:c>
      <x:c r="O143" s="5" t="n">
        <x:f>ROUND(H143/Vehiculos!$G$5*60+G143*8,0)</x:f>
        <x:v>114</x:v>
      </x:c>
      <x:c r="P143" s="5" t="n">
        <x:f>MIN(O143,ROUND(I143/Vehiculos!$G$5*60+G143*8,0))</x:f>
        <x:v>114</x:v>
      </x:c>
      <x:c r="Q143" s="5" t="n">
        <x:f>O143-P143</x:f>
        <x:v>0</x:v>
      </x:c>
      <x:c r="R143" s="1" t="str">
        <x:v>P0053</x:v>
      </x:c>
      <x:c r="S143" s="1" t="str">
        <x:v>La Masica</x:v>
      </x:c>
      <x:c r="T143" s="1" t="n">
        <x:f>Parametros_Operacion!$B$7</x:f>
        <x:v>41.2</x:v>
      </x:c>
      <x:c r="U143" s="1" t="n">
        <x:v>3.8</x:v>
      </x:c>
      <x:c r="V143" s="1" t="n">
        <x:v>3.8</x:v>
      </x:c>
      <x:c r="W143" s="1" t="n">
        <x:f>T143</x:f>
        <x:v>41.2</x:v>
      </x:c>
    </x:row>
    <x:row r="144">
      <x:c r="A144" s="1" t="str">
        <x:v>RT-20260602-R005</x:v>
      </x:c>
      <x:c r="B144" s="1" t="str">
        <x:v>2026-06-02</x:v>
      </x:c>
      <x:c r="C144" s="1" t="str">
        <x:v>R005</x:v>
      </x:c>
      <x:c r="D144" s="1" t="str">
        <x:v>José Martínez</x:v>
      </x:c>
      <x:c r="E144" s="1" t="str">
        <x:v>V005</x:v>
      </x:c>
      <x:c r="F144" s="1" t="str">
        <x:v>Camión pequeño</x:v>
      </x:c>
      <x:c r="G144" s="1" t="n">
        <x:v>1</x:v>
      </x:c>
      <x:c r="H144" s="5" t="n">
        <x:f>ROUND(2*T144+U144,2)</x:f>
        <x:v>75.5</x:v>
      </x:c>
      <x:c r="I144" s="5" t="n">
        <x:f>MIN(H144,ROUND(T144+V144+W144,2))</x:f>
        <x:v>75.5</x:v>
      </x:c>
      <x:c r="J144" s="5" t="n">
        <x:f>ROUND(H144-I144,2)</x:f>
        <x:v>0</x:v>
      </x:c>
      <x:c r="K144" s="5" t="n">
        <x:f>IF(H144=0,0,ROUND(100*J144/H144,2))</x:f>
        <x:v>0</x:v>
      </x:c>
      <x:c r="L144" s="5" t="n">
        <x:f>SUMIF(Pedidos!$L$2:$L$231,A144,Pedidos!$Q$2:$Q$231)</x:f>
        <x:v>359.81</x:v>
      </x:c>
      <x:c r="M144" s="5" t="n">
        <x:f>IF(J144=0,L144,MIN(L144,ROUND(I144/Vehiculos!$E$6*Vehiculos!$F$6,2)))</x:f>
        <x:v>359.81</x:v>
      </x:c>
      <x:c r="N144" s="5" t="n">
        <x:f>ROUND(L144-M144,2)</x:f>
        <x:v>0</x:v>
      </x:c>
      <x:c r="O144" s="5" t="n">
        <x:f>ROUND(H144/Vehiculos!$G$6*60+G144*8,0)</x:f>
        <x:v>113</x:v>
      </x:c>
      <x:c r="P144" s="5" t="n">
        <x:f>MIN(O144,ROUND(I144/Vehiculos!$G$6*60+G144*8,0))</x:f>
        <x:v>113</x:v>
      </x:c>
      <x:c r="Q144" s="5" t="n">
        <x:f>O144-P144</x:f>
        <x:v>0</x:v>
      </x:c>
      <x:c r="R144" s="1" t="str">
        <x:v>P0225</x:v>
      </x:c>
      <x:c r="S144" s="1" t="str">
        <x:v>San Francisco</x:v>
      </x:c>
      <x:c r="T144" s="1" t="n">
        <x:f>Parametros_Operacion!$B$8</x:f>
        <x:v>35</x:v>
      </x:c>
      <x:c r="U144" s="1" t="n">
        <x:v>5.5</x:v>
      </x:c>
      <x:c r="V144" s="1" t="n">
        <x:v>5.5</x:v>
      </x:c>
      <x:c r="W144" s="1" t="n">
        <x:f>T144</x:f>
        <x:v>35</x:v>
      </x:c>
    </x:row>
    <x:row r="145">
      <x:c r="A145" s="1" t="str">
        <x:v>RT-20260602-R006</x:v>
      </x:c>
      <x:c r="B145" s="1" t="str">
        <x:v>2026-06-02</x:v>
      </x:c>
      <x:c r="C145" s="1" t="str">
        <x:v>R006</x:v>
      </x:c>
      <x:c r="D145" s="1" t="str">
        <x:v>Kevin Flores</x:v>
      </x:c>
      <x:c r="E145" s="1" t="str">
        <x:v>V006</x:v>
      </x:c>
      <x:c r="F145" s="1" t="str">
        <x:v>Pickup con carrocería</x:v>
      </x:c>
      <x:c r="G145" s="1" t="n">
        <x:v>1</x:v>
      </x:c>
      <x:c r="H145" s="5" t="n">
        <x:f>ROUND(2*T145+U145,2)</x:f>
        <x:v>147.8</x:v>
      </x:c>
      <x:c r="I145" s="5" t="n">
        <x:f>MIN(H145,ROUND(T145+V145+W145,2))</x:f>
        <x:v>147.8</x:v>
      </x:c>
      <x:c r="J145" s="5" t="n">
        <x:f>ROUND(H145-I145,2)</x:f>
        <x:v>0</x:v>
      </x:c>
      <x:c r="K145" s="5" t="n">
        <x:f>IF(H145=0,0,ROUND(100*J145/H145,2))</x:f>
        <x:v>0</x:v>
      </x:c>
      <x:c r="L145" s="5" t="n">
        <x:f>SUMIF(Pedidos!$L$2:$L$231,A145,Pedidos!$Q$2:$Q$231)</x:f>
        <x:v>563.49</x:v>
      </x:c>
      <x:c r="M145" s="5" t="n">
        <x:f>IF(J145=0,L145,MIN(L145,ROUND(I145/Vehiculos!$E$7*Vehiculos!$F$7,2)))</x:f>
        <x:v>563.49</x:v>
      </x:c>
      <x:c r="N145" s="5" t="n">
        <x:f>ROUND(L145-M145,2)</x:f>
        <x:v>0</x:v>
      </x:c>
      <x:c r="O145" s="5" t="n">
        <x:f>ROUND(H145/Vehiculos!$G$7*60+G145*8,0)</x:f>
        <x:v>197</x:v>
      </x:c>
      <x:c r="P145" s="5" t="n">
        <x:f>MIN(O145,ROUND(I145/Vehiculos!$G$7*60+G145*8,0))</x:f>
        <x:v>197</x:v>
      </x:c>
      <x:c r="Q145" s="5" t="n">
        <x:f>O145-P145</x:f>
        <x:v>0</x:v>
      </x:c>
      <x:c r="R145" s="1" t="str">
        <x:v>P0197</x:v>
      </x:c>
      <x:c r="S145" s="1" t="str">
        <x:v>Arizona</x:v>
      </x:c>
      <x:c r="T145" s="1" t="n">
        <x:f>Parametros_Operacion!$B$2</x:f>
        <x:v>72.5</x:v>
      </x:c>
      <x:c r="U145" s="1" t="n">
        <x:v>2.8</x:v>
      </x:c>
      <x:c r="V145" s="1" t="n">
        <x:v>2.8</x:v>
      </x:c>
      <x:c r="W145" s="1" t="n">
        <x:f>T145</x:f>
        <x:v>72.5</x:v>
      </x:c>
    </x:row>
    <x:row r="146">
      <x:c r="A146" s="1" t="str">
        <x:v>RT-20260603-R007</x:v>
      </x:c>
      <x:c r="B146" s="1" t="str">
        <x:v>2026-06-03</x:v>
      </x:c>
      <x:c r="C146" s="1" t="str">
        <x:v>R007</x:v>
      </x:c>
      <x:c r="D146" s="1" t="str">
        <x:v>María Hernández</x:v>
      </x:c>
      <x:c r="E146" s="1" t="str">
        <x:v>V007</x:v>
      </x:c>
      <x:c r="F146" s="1" t="str">
        <x:v>Pickup con carrocería</x:v>
      </x:c>
      <x:c r="G146" s="1" t="n">
        <x:v>1</x:v>
      </x:c>
      <x:c r="H146" s="5" t="n">
        <x:f>ROUND(2*T146+U146,2)</x:f>
        <x:v>157.96</x:v>
      </x:c>
      <x:c r="I146" s="5" t="n">
        <x:f>MIN(H146,ROUND(T146+V146+W146,2))</x:f>
        <x:v>157.96</x:v>
      </x:c>
      <x:c r="J146" s="5" t="n">
        <x:f>ROUND(H146-I146,2)</x:f>
        <x:v>0</x:v>
      </x:c>
      <x:c r="K146" s="5" t="n">
        <x:f>IF(H146=0,0,ROUND(100*J146/H146,2))</x:f>
        <x:v>0</x:v>
      </x:c>
      <x:c r="L146" s="5" t="n">
        <x:f>SUMIF(Pedidos!$L$2:$L$231,A146,Pedidos!$Q$2:$Q$231)</x:f>
        <x:v>602.23</x:v>
      </x:c>
      <x:c r="M146" s="5" t="n">
        <x:f>IF(J146=0,L146,MIN(L146,ROUND(I146/Vehiculos!$E$8*Vehiculos!$F$8,2)))</x:f>
        <x:v>602.23</x:v>
      </x:c>
      <x:c r="N146" s="5" t="n">
        <x:f>ROUND(L146-M146,2)</x:f>
        <x:v>0</x:v>
      </x:c>
      <x:c r="O146" s="5" t="n">
        <x:f>ROUND(H146/Vehiculos!$G$8*60+G146*8,0)</x:f>
        <x:v>214</x:v>
      </x:c>
      <x:c r="P146" s="5" t="n">
        <x:f>MIN(O146,ROUND(I146/Vehiculos!$G$8*60+G146*8,0))</x:f>
        <x:v>214</x:v>
      </x:c>
      <x:c r="Q146" s="5" t="n">
        <x:f>O146-P146</x:f>
        <x:v>0</x:v>
      </x:c>
      <x:c r="R146" s="1" t="str">
        <x:v>P0222</x:v>
      </x:c>
      <x:c r="S146" s="1" t="str">
        <x:v>Esparta</x:v>
      </x:c>
      <x:c r="T146" s="1" t="n">
        <x:f>Parametros_Operacion!$B$4</x:f>
        <x:v>75.5</x:v>
      </x:c>
      <x:c r="U146" s="1" t="n">
        <x:v>6.96</x:v>
      </x:c>
      <x:c r="V146" s="1" t="n">
        <x:v>6.96</x:v>
      </x:c>
      <x:c r="W146" s="1" t="n">
        <x:f>T146</x:f>
        <x:v>75.5</x:v>
      </x:c>
    </x:row>
    <x:row r="147">
      <x:c r="A147" s="1" t="str">
        <x:v>RT-20260604-R005</x:v>
      </x:c>
      <x:c r="B147" s="1" t="str">
        <x:v>2026-06-04</x:v>
      </x:c>
      <x:c r="C147" s="1" t="str">
        <x:v>R005</x:v>
      </x:c>
      <x:c r="D147" s="1" t="str">
        <x:v>José Martínez</x:v>
      </x:c>
      <x:c r="E147" s="1" t="str">
        <x:v>V005</x:v>
      </x:c>
      <x:c r="F147" s="1" t="str">
        <x:v>Camión pequeño</x:v>
      </x:c>
      <x:c r="G147" s="1" t="n">
        <x:v>1</x:v>
      </x:c>
      <x:c r="H147" s="5" t="n">
        <x:f>ROUND(2*T147+U147,2)</x:f>
        <x:v>73.78</x:v>
      </x:c>
      <x:c r="I147" s="5" t="n">
        <x:f>MIN(H147,ROUND(T147+V147+W147,2))</x:f>
        <x:v>73.78</x:v>
      </x:c>
      <x:c r="J147" s="5" t="n">
        <x:f>ROUND(H147-I147,2)</x:f>
        <x:v>0</x:v>
      </x:c>
      <x:c r="K147" s="5" t="n">
        <x:f>IF(H147=0,0,ROUND(100*J147/H147,2))</x:f>
        <x:v>0</x:v>
      </x:c>
      <x:c r="L147" s="5" t="n">
        <x:f>SUMIF(Pedidos!$L$2:$L$231,A147,Pedidos!$Q$2:$Q$231)</x:f>
        <x:v>351.61</x:v>
      </x:c>
      <x:c r="M147" s="5" t="n">
        <x:f>IF(J147=0,L147,MIN(L147,ROUND(I147/Vehiculos!$E$6*Vehiculos!$F$6,2)))</x:f>
        <x:v>351.61</x:v>
      </x:c>
      <x:c r="N147" s="5" t="n">
        <x:f>ROUND(L147-M147,2)</x:f>
        <x:v>0</x:v>
      </x:c>
      <x:c r="O147" s="5" t="n">
        <x:f>ROUND(H147/Vehiculos!$G$6*60+G147*8,0)</x:f>
        <x:v>111</x:v>
      </x:c>
      <x:c r="P147" s="5" t="n">
        <x:f>MIN(O147,ROUND(I147/Vehiculos!$G$6*60+G147*8,0))</x:f>
        <x:v>111</x:v>
      </x:c>
      <x:c r="Q147" s="5" t="n">
        <x:f>O147-P147</x:f>
        <x:v>0</x:v>
      </x:c>
      <x:c r="R147" s="1" t="str">
        <x:v>P0231</x:v>
      </x:c>
      <x:c r="S147" s="1" t="str">
        <x:v>San Francisco</x:v>
      </x:c>
      <x:c r="T147" s="1" t="n">
        <x:f>Parametros_Operacion!$B$8</x:f>
        <x:v>35</x:v>
      </x:c>
      <x:c r="U147" s="1" t="n">
        <x:v>3.78</x:v>
      </x:c>
      <x:c r="V147" s="1" t="n">
        <x:v>3.78</x:v>
      </x:c>
      <x:c r="W147" s="1" t="n">
        <x:f>T147</x:f>
        <x:v>35</x:v>
      </x:c>
    </x:row>
    <x:row r="148">
      <x:c r="A148" s="1" t="str">
        <x:v>RT-20260605-R006</x:v>
      </x:c>
      <x:c r="B148" s="1" t="str">
        <x:v>2026-06-05</x:v>
      </x:c>
      <x:c r="C148" s="1" t="str">
        <x:v>R006</x:v>
      </x:c>
      <x:c r="D148" s="1" t="str">
        <x:v>Kevin Flores</x:v>
      </x:c>
      <x:c r="E148" s="1" t="str">
        <x:v>V006</x:v>
      </x:c>
      <x:c r="F148" s="1" t="str">
        <x:v>Pickup con carrocería</x:v>
      </x:c>
      <x:c r="G148" s="1" t="n">
        <x:v>1</x:v>
      </x:c>
      <x:c r="H148" s="5" t="n">
        <x:f>ROUND(2*T148+U148,2)</x:f>
        <x:v>157.48</x:v>
      </x:c>
      <x:c r="I148" s="5" t="n">
        <x:f>MIN(H148,ROUND(T148+V148+W148,2))</x:f>
        <x:v>157.48</x:v>
      </x:c>
      <x:c r="J148" s="5" t="n">
        <x:f>ROUND(H148-I148,2)</x:f>
        <x:v>0</x:v>
      </x:c>
      <x:c r="K148" s="5" t="n">
        <x:f>IF(H148=0,0,ROUND(100*J148/H148,2))</x:f>
        <x:v>0</x:v>
      </x:c>
      <x:c r="L148" s="5" t="n">
        <x:f>SUMIF(Pedidos!$L$2:$L$231,A148,Pedidos!$Q$2:$Q$231)</x:f>
        <x:v>600.4</x:v>
      </x:c>
      <x:c r="M148" s="5" t="n">
        <x:f>IF(J148=0,L148,MIN(L148,ROUND(I148/Vehiculos!$E$7*Vehiculos!$F$7,2)))</x:f>
        <x:v>600.4</x:v>
      </x:c>
      <x:c r="N148" s="5" t="n">
        <x:f>ROUND(L148-M148,2)</x:f>
        <x:v>0</x:v>
      </x:c>
      <x:c r="O148" s="5" t="n">
        <x:f>ROUND(H148/Vehiculos!$G$7*60+G148*8,0)</x:f>
        <x:v>209</x:v>
      </x:c>
      <x:c r="P148" s="5" t="n">
        <x:f>MIN(O148,ROUND(I148/Vehiculos!$G$7*60+G148*8,0))</x:f>
        <x:v>209</x:v>
      </x:c>
      <x:c r="Q148" s="5" t="n">
        <x:f>O148-P148</x:f>
        <x:v>0</x:v>
      </x:c>
      <x:c r="R148" s="1" t="str">
        <x:v>P0054</x:v>
      </x:c>
      <x:c r="S148" s="1" t="str">
        <x:v>Arizona</x:v>
      </x:c>
      <x:c r="T148" s="1" t="n">
        <x:f>Parametros_Operacion!$B$2</x:f>
        <x:v>72.5</x:v>
      </x:c>
      <x:c r="U148" s="1" t="n">
        <x:v>12.48</x:v>
      </x:c>
      <x:c r="V148" s="1" t="n">
        <x:v>12.48</x:v>
      </x:c>
      <x:c r="W148" s="1" t="n">
        <x:f>T148</x:f>
        <x:v>72.5</x:v>
      </x:c>
    </x:row>
    <x:row r="149">
      <x:c r="A149" s="1" t="str">
        <x:v>RT-20260608-R007</x:v>
      </x:c>
      <x:c r="B149" s="1" t="str">
        <x:v>2026-06-08</x:v>
      </x:c>
      <x:c r="C149" s="1" t="str">
        <x:v>R007</x:v>
      </x:c>
      <x:c r="D149" s="1" t="str">
        <x:v>María Hernández</x:v>
      </x:c>
      <x:c r="E149" s="1" t="str">
        <x:v>V007</x:v>
      </x:c>
      <x:c r="F149" s="1" t="str">
        <x:v>Pickup con carrocería</x:v>
      </x:c>
      <x:c r="G149" s="1" t="n">
        <x:v>1</x:v>
      </x:c>
      <x:c r="H149" s="5" t="n">
        <x:f>ROUND(2*T149+U149,2)</x:f>
        <x:v>155.84</x:v>
      </x:c>
      <x:c r="I149" s="5" t="n">
        <x:f>MIN(H149,ROUND(T149+V149+W149,2))</x:f>
        <x:v>155.84</x:v>
      </x:c>
      <x:c r="J149" s="5" t="n">
        <x:f>ROUND(H149-I149,2)</x:f>
        <x:v>0</x:v>
      </x:c>
      <x:c r="K149" s="5" t="n">
        <x:f>IF(H149=0,0,ROUND(100*J149/H149,2))</x:f>
        <x:v>0</x:v>
      </x:c>
      <x:c r="L149" s="5" t="n">
        <x:f>SUMIF(Pedidos!$L$2:$L$231,A149,Pedidos!$Q$2:$Q$231)</x:f>
        <x:v>594.14</x:v>
      </x:c>
      <x:c r="M149" s="5" t="n">
        <x:f>IF(J149=0,L149,MIN(L149,ROUND(I149/Vehiculos!$E$8*Vehiculos!$F$8,2)))</x:f>
        <x:v>594.14</x:v>
      </x:c>
      <x:c r="N149" s="5" t="n">
        <x:f>ROUND(L149-M149,2)</x:f>
        <x:v>0</x:v>
      </x:c>
      <x:c r="O149" s="5" t="n">
        <x:f>ROUND(H149/Vehiculos!$G$8*60+G149*8,0)</x:f>
        <x:v>211</x:v>
      </x:c>
      <x:c r="P149" s="5" t="n">
        <x:f>MIN(O149,ROUND(I149/Vehiculos!$G$8*60+G149*8,0))</x:f>
        <x:v>211</x:v>
      </x:c>
      <x:c r="Q149" s="5" t="n">
        <x:f>O149-P149</x:f>
        <x:v>0</x:v>
      </x:c>
      <x:c r="R149" s="1" t="str">
        <x:v>P0104</x:v>
      </x:c>
      <x:c r="S149" s="1" t="str">
        <x:v>Esparta</x:v>
      </x:c>
      <x:c r="T149" s="1" t="n">
        <x:f>Parametros_Operacion!$B$4</x:f>
        <x:v>75.5</x:v>
      </x:c>
      <x:c r="U149" s="1" t="n">
        <x:v>4.84</x:v>
      </x:c>
      <x:c r="V149" s="1" t="n">
        <x:v>4.84</x:v>
      </x:c>
      <x:c r="W149" s="1" t="n">
        <x:f>T149</x:f>
        <x:v>75.5</x:v>
      </x:c>
    </x:row>
    <x:row r="150">
      <x:c r="A150" s="1" t="str">
        <x:v>RT-20260611-R003</x:v>
      </x:c>
      <x:c r="B150" s="1" t="str">
        <x:v>2026-06-11</x:v>
      </x:c>
      <x:c r="C150" s="1" t="str">
        <x:v>R003</x:v>
      </x:c>
      <x:c r="D150" s="1" t="str">
        <x:v>Luis Ramírez</x:v>
      </x:c>
      <x:c r="E150" s="1" t="str">
        <x:v>V003</x:v>
      </x:c>
      <x:c r="F150" s="1" t="str">
        <x:v>Pickup con carrocería</x:v>
      </x:c>
      <x:c r="G150" s="1" t="n">
        <x:v>1</x:v>
      </x:c>
      <x:c r="H150" s="5" t="n">
        <x:f>ROUND(2*T150+U150,2)</x:f>
        <x:v>68.04</x:v>
      </x:c>
      <x:c r="I150" s="5" t="n">
        <x:f>MIN(H150,ROUND(T150+V150+W150,2))</x:f>
        <x:v>68.04</x:v>
      </x:c>
      <x:c r="J150" s="5" t="n">
        <x:f>ROUND(H150-I150,2)</x:f>
        <x:v>0</x:v>
      </x:c>
      <x:c r="K150" s="5" t="n">
        <x:f>IF(H150=0,0,ROUND(100*J150/H150,2))</x:f>
        <x:v>0</x:v>
      </x:c>
      <x:c r="L150" s="5" t="n">
        <x:f>SUMIF(Pedidos!$L$2:$L$231,A150,Pedidos!$Q$2:$Q$231)</x:f>
        <x:v>259.4</x:v>
      </x:c>
      <x:c r="M150" s="5" t="n">
        <x:f>IF(J150=0,L150,MIN(L150,ROUND(I150/Vehiculos!$E$4*Vehiculos!$F$4,2)))</x:f>
        <x:v>259.4</x:v>
      </x:c>
      <x:c r="N150" s="5" t="n">
        <x:f>ROUND(L150-M150,2)</x:f>
        <x:v>0</x:v>
      </x:c>
      <x:c r="O150" s="5" t="n">
        <x:f>ROUND(H150/Vehiculos!$G$4*60+G150*8,0)</x:f>
        <x:v>95</x:v>
      </x:c>
      <x:c r="P150" s="5" t="n">
        <x:f>MIN(O150,ROUND(I150/Vehiculos!$G$4*60+G150*8,0))</x:f>
        <x:v>95</x:v>
      </x:c>
      <x:c r="Q150" s="5" t="n">
        <x:f>O150-P150</x:f>
        <x:v>0</x:v>
      </x:c>
      <x:c r="R150" s="1" t="str">
        <x:v>P0105</x:v>
      </x:c>
      <x:c r="S150" s="1" t="str">
        <x:v>Jutiapa</x:v>
      </x:c>
      <x:c r="T150" s="1" t="n">
        <x:f>Parametros_Operacion!$B$5</x:f>
        <x:v>31.4</x:v>
      </x:c>
      <x:c r="U150" s="1" t="n">
        <x:v>5.24</x:v>
      </x:c>
      <x:c r="V150" s="1" t="n">
        <x:v>5.24</x:v>
      </x:c>
      <x:c r="W150" s="1" t="n">
        <x:f>T150</x:f>
        <x:v>31.4</x:v>
      </x:c>
    </x:row>
    <x:row r="151">
      <x:c r="A151" s="1" t="str">
        <x:v>RT-20260614-R007</x:v>
      </x:c>
      <x:c r="B151" s="1" t="str">
        <x:v>2026-06-14</x:v>
      </x:c>
      <x:c r="C151" s="1" t="str">
        <x:v>R007</x:v>
      </x:c>
      <x:c r="D151" s="1" t="str">
        <x:v>María Hernández</x:v>
      </x:c>
      <x:c r="E151" s="1" t="str">
        <x:v>V007</x:v>
      </x:c>
      <x:c r="F151" s="1" t="str">
        <x:v>Pickup con carrocería</x:v>
      </x:c>
      <x:c r="G151" s="1" t="n">
        <x:v>1</x:v>
      </x:c>
      <x:c r="H151" s="5" t="n">
        <x:f>ROUND(2*T151+U151,2)</x:f>
        <x:v>155.84</x:v>
      </x:c>
      <x:c r="I151" s="5" t="n">
        <x:f>MIN(H151,ROUND(T151+V151+W151,2))</x:f>
        <x:v>155.84</x:v>
      </x:c>
      <x:c r="J151" s="5" t="n">
        <x:f>ROUND(H151-I151,2)</x:f>
        <x:v>0</x:v>
      </x:c>
      <x:c r="K151" s="5" t="n">
        <x:f>IF(H151=0,0,ROUND(100*J151/H151,2))</x:f>
        <x:v>0</x:v>
      </x:c>
      <x:c r="L151" s="5" t="n">
        <x:f>SUMIF(Pedidos!$L$2:$L$231,A151,Pedidos!$Q$2:$Q$231)</x:f>
        <x:v>594.14</x:v>
      </x:c>
      <x:c r="M151" s="5" t="n">
        <x:f>IF(J151=0,L151,MIN(L151,ROUND(I151/Vehiculos!$E$8*Vehiculos!$F$8,2)))</x:f>
        <x:v>594.14</x:v>
      </x:c>
      <x:c r="N151" s="5" t="n">
        <x:f>ROUND(L151-M151,2)</x:f>
        <x:v>0</x:v>
      </x:c>
      <x:c r="O151" s="5" t="n">
        <x:f>ROUND(H151/Vehiculos!$G$8*60+G151*8,0)</x:f>
        <x:v>211</x:v>
      </x:c>
      <x:c r="P151" s="5" t="n">
        <x:f>MIN(O151,ROUND(I151/Vehiculos!$G$8*60+G151*8,0))</x:f>
        <x:v>211</x:v>
      </x:c>
      <x:c r="Q151" s="5" t="n">
        <x:f>O151-P151</x:f>
        <x:v>0</x:v>
      </x:c>
      <x:c r="R151" s="1" t="str">
        <x:v>P0156</x:v>
      </x:c>
      <x:c r="S151" s="1" t="str">
        <x:v>Esparta</x:v>
      </x:c>
      <x:c r="T151" s="1" t="n">
        <x:f>Parametros_Operacion!$B$4</x:f>
        <x:v>75.5</x:v>
      </x:c>
      <x:c r="U151" s="1" t="n">
        <x:v>4.84</x:v>
      </x:c>
      <x:c r="V151" s="1" t="n">
        <x:v>4.84</x:v>
      </x:c>
      <x:c r="W151" s="1" t="n">
        <x:f>T151</x:f>
        <x:v>75.5</x:v>
      </x:c>
    </x:row>
    <x:row r="152">
      <x:c r="A152" s="1" t="str">
        <x:v>RT-20260617-R007</x:v>
      </x:c>
      <x:c r="B152" s="1" t="str">
        <x:v>2026-06-17</x:v>
      </x:c>
      <x:c r="C152" s="1" t="str">
        <x:v>R007</x:v>
      </x:c>
      <x:c r="D152" s="1" t="str">
        <x:v>María Hernández</x:v>
      </x:c>
      <x:c r="E152" s="1" t="str">
        <x:v>V007</x:v>
      </x:c>
      <x:c r="F152" s="1" t="str">
        <x:v>Pickup con carrocería</x:v>
      </x:c>
      <x:c r="G152" s="1" t="n">
        <x:v>1</x:v>
      </x:c>
      <x:c r="H152" s="5" t="n">
        <x:f>ROUND(2*T152+U152,2)</x:f>
        <x:v>154.7</x:v>
      </x:c>
      <x:c r="I152" s="5" t="n">
        <x:f>MIN(H152,ROUND(T152+V152+W152,2))</x:f>
        <x:v>154.7</x:v>
      </x:c>
      <x:c r="J152" s="5" t="n">
        <x:f>ROUND(H152-I152,2)</x:f>
        <x:v>0</x:v>
      </x:c>
      <x:c r="K152" s="5" t="n">
        <x:f>IF(H152=0,0,ROUND(100*J152/H152,2))</x:f>
        <x:v>0</x:v>
      </x:c>
      <x:c r="L152" s="5" t="n">
        <x:f>SUMIF(Pedidos!$L$2:$L$231,A152,Pedidos!$Q$2:$Q$231)</x:f>
        <x:v>589.8</x:v>
      </x:c>
      <x:c r="M152" s="5" t="n">
        <x:f>IF(J152=0,L152,MIN(L152,ROUND(I152/Vehiculos!$E$8*Vehiculos!$F$8,2)))</x:f>
        <x:v>589.8</x:v>
      </x:c>
      <x:c r="N152" s="5" t="n">
        <x:f>ROUND(L152-M152,2)</x:f>
        <x:v>0</x:v>
      </x:c>
      <x:c r="O152" s="5" t="n">
        <x:f>ROUND(H152/Vehiculos!$G$8*60+G152*8,0)</x:f>
        <x:v>210</x:v>
      </x:c>
      <x:c r="P152" s="5" t="n">
        <x:f>MIN(O152,ROUND(I152/Vehiculos!$G$8*60+G152*8,0))</x:f>
        <x:v>210</x:v>
      </x:c>
      <x:c r="Q152" s="5" t="n">
        <x:f>O152-P152</x:f>
        <x:v>0</x:v>
      </x:c>
      <x:c r="R152" s="1" t="str">
        <x:v>P0228</x:v>
      </x:c>
      <x:c r="S152" s="1" t="str">
        <x:v>Esparta</x:v>
      </x:c>
      <x:c r="T152" s="1" t="n">
        <x:f>Parametros_Operacion!$B$4</x:f>
        <x:v>75.5</x:v>
      </x:c>
      <x:c r="U152" s="1" t="n">
        <x:v>3.7</x:v>
      </x:c>
      <x:c r="V152" s="1" t="n">
        <x:v>3.7</x:v>
      </x:c>
      <x:c r="W152" s="1" t="n">
        <x:f>T152</x:f>
        <x:v>75.5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440000534057617" hidden="0" customWidth="1"/>
    <x:col min="2" max="2" width="13.890000343322754" hidden="0" customWidth="1"/>
    <x:col min="3" max="3" width="13.329999923706055" hidden="0" customWidth="1"/>
    <x:col min="4" max="4" width="27.780000686645508" hidden="0" customWidth="1"/>
    <x:col min="5" max="5" width="19.440000534057617" hidden="0" customWidth="1"/>
    <x:col min="6" max="6" width="22.780000686645508" hidden="0" customWidth="1"/>
    <x:col min="7" max="7" width="16.670000076293945" hidden="0" customWidth="1"/>
    <x:col min="8" max="8" width="14.4399995803833" hidden="0" customWidth="1"/>
    <x:col min="9" max="9" width="36.66999816894531" hidden="0" customWidth="1"/>
    <x:col min="10" max="10" width="15" hidden="0" customWidth="1"/>
    <x:col min="11" max="11" width="17.780000686645508" hidden="0" customWidth="1"/>
    <x:col min="12" max="12" width="20" hidden="0" customWidth="1"/>
    <x:col min="13" max="13" width="16.670000076293945" hidden="0" customWidth="1"/>
    <x:col min="14" max="14" width="18.329999923706055" hidden="0" customWidth="1"/>
    <x:col min="15" max="15" width="20.559999465942383" hidden="0" customWidth="1"/>
    <x:col min="16" max="16" width="24.440000534057617" hidden="0" customWidth="1"/>
    <x:col min="17" max="17" width="14.4399995803833" hidden="0" customWidth="1"/>
    <x:col min="18" max="18" width="17.780000686645508" hidden="0" customWidth="1"/>
    <x:col min="19" max="19" width="19.440000534057617" hidden="0" customWidth="1"/>
    <x:col min="20" max="20" width="17.780000686645508" hidden="0" customWidth="1"/>
    <x:col min="21" max="21" width="20" hidden="0" customWidth="1"/>
    <x:col min="22" max="22" width="23.329999923706055" hidden="0" customWidth="1"/>
    <x:col min="23" max="23" width="21.110000610351562" hidden="0" customWidth="1"/>
    <x:col min="24" max="24" width="16.670000076293945" hidden="0" customWidth="1"/>
    <x:col min="25" max="25" width="16.670000076293945" hidden="0" customWidth="1"/>
    <x:col min="26" max="26" width="16.670000076293945" hidden="0" customWidth="1"/>
    <x:col min="27" max="27" width="30" hidden="0" customWidth="1"/>
  </x:cols>
  <x:sheetData>
    <x:row r="1" ht="30" customHeight="1">
      <x:c r="A1" s="3" t="str">
        <x:v>id_plan</x:v>
      </x:c>
      <x:c r="B1" s="3" t="str">
        <x:v>fecha_entrega</x:v>
      </x:c>
      <x:c r="C1" s="3" t="str">
        <x:v>zona_propuesta</x:v>
      </x:c>
      <x:c r="D1" s="3" t="str">
        <x:v>municipios_atendidos</x:v>
      </x:c>
      <x:c r="E1" s="3" t="str">
        <x:v>id_repartidor_propuesto</x:v>
      </x:c>
      <x:c r="F1" s="3" t="str">
        <x:v>nombre_repartidor_propuesto</x:v>
      </x:c>
      <x:c r="G1" s="3" t="str">
        <x:v>id_vehiculo_propuesto</x:v>
      </x:c>
      <x:c r="H1" s="3" t="str">
        <x:v>total_pedidos</x:v>
      </x:c>
      <x:c r="I1" s="3" t="str">
        <x:v>rutas_base</x:v>
      </x:c>
      <x:c r="J1" s="3" t="str">
        <x:v>cantidad_rutas_base</x:v>
      </x:c>
      <x:c r="K1" s="3" t="str">
        <x:v>km_troncal_base</x:v>
      </x:c>
      <x:c r="L1" s="3" t="str">
        <x:v>km_troncal_propuesto</x:v>
      </x:c>
      <x:c r="M1" s="3" t="str">
        <x:v>km_local_base</x:v>
      </x:c>
      <x:c r="N1" s="3" t="str">
        <x:v>km_local_propuesto</x:v>
      </x:c>
      <x:c r="O1" s="3" t="str">
        <x:v>distancia_actual_km</x:v>
      </x:c>
      <x:c r="P1" s="3" t="str">
        <x:v>distancia_optimizada_km</x:v>
      </x:c>
      <x:c r="Q1" s="3" t="str">
        <x:v>ahorro_km</x:v>
      </x:c>
      <x:c r="R1" s="3" t="str">
        <x:v>costo_actual</x:v>
      </x:c>
      <x:c r="S1" s="3" t="str">
        <x:v>costo_optimizado</x:v>
      </x:c>
      <x:c r="T1" s="3" t="str">
        <x:v>ahorro_costo</x:v>
      </x:c>
      <x:c r="U1" s="3" t="str">
        <x:v>tiempo_actual_min</x:v>
      </x:c>
      <x:c r="V1" s="3" t="str">
        <x:v>tiempo_optimizado_min</x:v>
      </x:c>
      <x:c r="W1" s="3" t="str">
        <x:v>ahorro_tiempo_min</x:v>
      </x:c>
      <x:c r="X1" s="3" t="str">
        <x:v>capacidad_vehiculo</x:v>
      </x:c>
      <x:c r="Y1" s="3" t="str">
        <x:v>cumple_capacidad</x:v>
      </x:c>
      <x:c r="Z1" s="3" t="str">
        <x:v>cumple_jornada_8h</x:v>
      </x:c>
      <x:c r="AA1" s="3" t="str">
        <x:v>lectura_ahorro_diario</x:v>
      </x:c>
    </x:row>
    <x:row r="2">
      <x:c r="A2" s="1" t="str">
        <x:v>PL-20260501-Z1</x:v>
      </x:c>
      <x:c r="B2" s="1" t="str">
        <x:v>2026-05-01</x:v>
      </x:c>
      <x:c r="C2" s="1" t="str">
        <x:v>Z1</x:v>
      </x:c>
      <x:c r="D2" s="1" t="str">
        <x:v>La Ceiba</x:v>
      </x:c>
      <x:c r="E2" s="1" t="str">
        <x:v>R001</x:v>
      </x:c>
      <x:c r="F2" s="1" t="str">
        <x:v>Carlos Mejía</x:v>
      </x:c>
      <x:c r="G2" s="1" t="str">
        <x:v>V001</x:v>
      </x:c>
      <x:c r="H2" s="1" t="n">
        <x:v>2</x:v>
      </x:c>
      <x:c r="I2" s="1" t="str">
        <x:v>RT-20260501-R001</x:v>
      </x:c>
      <x:c r="J2" s="1" t="n">
        <x:v>1</x:v>
      </x:c>
      <x:c r="K2" s="5" t="n">
        <x:f>SUM(Rutas_Base!T2,Rutas_Base!W2)</x:f>
        <x:v>0</x:v>
      </x:c>
      <x:c r="L2" s="5" t="n">
        <x:f>2*MAX(Parametros_Operacion!$B$6)</x:f>
        <x:v>0</x:v>
      </x:c>
      <x:c r="M2" s="5" t="n">
        <x:f>SUM(Rutas_Base!U2)</x:f>
        <x:v>9.27</x:v>
      </x:c>
      <x:c r="N2" s="5" t="n">
        <x:f>SUM(Rutas_Base!V2)</x:f>
        <x:v>9.27</x:v>
      </x:c>
      <x:c r="O2" s="5" t="n">
        <x:f>SUM(Rutas_Base!H2)</x:f>
        <x:v>9.27</x:v>
      </x:c>
      <x:c r="P2" s="5" t="n">
        <x:f>ROUND(L2+N2,2)</x:f>
        <x:v>9.27</x:v>
      </x:c>
      <x:c r="Q2" s="5" t="n">
        <x:f>ROUND(O2-P2,2)</x:f>
        <x:v>0</x:v>
      </x:c>
      <x:c r="R2" s="5" t="n">
        <x:f>SUM(Rutas_Base!L2)</x:f>
        <x:v>32.13</x:v>
      </x:c>
      <x:c r="S2" s="5" t="n">
        <x:f>ROUND(P2/Vehiculos!$E$2*Vehiculos!$F$2,2)</x:f>
        <x:v>32.13</x:v>
      </x:c>
      <x:c r="T2" s="5" t="n">
        <x:f>ROUND(R2-S2,2)</x:f>
        <x:v>0</x:v>
      </x:c>
      <x:c r="U2" s="5" t="n">
        <x:f>SUM(Rutas_Base!O2)</x:f>
        <x:v>27</x:v>
      </x:c>
      <x:c r="V2" s="5" t="n">
        <x:f>ROUND(P2/Vehiculos!$G$2*60+H2*8,0)</x:f>
        <x:v>27</x:v>
      </x:c>
      <x:c r="W2" s="5" t="n">
        <x:f>U2-V2</x:f>
        <x:v>0</x:v>
      </x:c>
      <x:c r="X2" s="1" t="n">
        <x:f>Vehiculos!$D$2</x:f>
        <x:v>12</x:v>
      </x:c>
      <x:c r="Y2" s="1" t="str">
        <x:f>IF(H2&lt;=X2,"Sí","No")</x:f>
        <x:v>Sí</x:v>
      </x:c>
      <x:c r="Z2" s="1" t="str">
        <x:f>IF(V2&lt;=Parametros_Operacion!$H$13,"Sí","No")</x:f>
        <x:v>Sí</x:v>
      </x:c>
      <x:c r="AA2" s="1" t="str">
        <x:f>IF(Q2&gt;0,"Ahorro por ruta compartida","Sin ahorro: recorrido equivalente")</x:f>
        <x:v>Sin ahorro: recorrido equivalente</x:v>
      </x:c>
    </x:row>
    <x:row r="3">
      <x:c r="A3" s="1" t="str">
        <x:v>PL-20260501-Z3</x:v>
      </x:c>
      <x:c r="B3" s="1" t="str">
        <x:v>2026-05-01</x:v>
      </x:c>
      <x:c r="C3" s="1" t="str">
        <x:v>Z3</x:v>
      </x:c>
      <x:c r="D3" s="1" t="str">
        <x:v>La Masica</x:v>
      </x:c>
      <x:c r="E3" s="1" t="str">
        <x:v>R007</x:v>
      </x:c>
      <x:c r="F3" s="1" t="str">
        <x:v>María Hernández</x:v>
      </x:c>
      <x:c r="G3" s="1" t="str">
        <x:v>V007</x:v>
      </x:c>
      <x:c r="H3" s="1" t="n">
        <x:v>1</x:v>
      </x:c>
      <x:c r="I3" s="1" t="str">
        <x:v>RT-20260501-R004</x:v>
      </x:c>
      <x:c r="J3" s="1" t="n">
        <x:v>1</x:v>
      </x:c>
      <x:c r="K3" s="5" t="n">
        <x:f>SUM(Rutas_Base!T3,Rutas_Base!W3)</x:f>
        <x:v>82.4</x:v>
      </x:c>
      <x:c r="L3" s="5" t="n">
        <x:f>2*MAX(Parametros_Operacion!$B$7)</x:f>
        <x:v>82.4</x:v>
      </x:c>
      <x:c r="M3" s="5" t="n">
        <x:f>SUM(Rutas_Base!U3)</x:f>
        <x:v>9.16</x:v>
      </x:c>
      <x:c r="N3" s="5" t="n">
        <x:f>SUM(Rutas_Base!V3)</x:f>
        <x:v>9.16</x:v>
      </x:c>
      <x:c r="O3" s="5" t="n">
        <x:f>SUM(Rutas_Base!H3)</x:f>
        <x:v>91.56</x:v>
      </x:c>
      <x:c r="P3" s="5" t="n">
        <x:f>ROUND(L3+N3,2)</x:f>
        <x:v>91.56</x:v>
      </x:c>
      <x:c r="Q3" s="5" t="n">
        <x:f>ROUND(O3-P3,2)</x:f>
        <x:v>0</x:v>
      </x:c>
      <x:c r="R3" s="5" t="n">
        <x:f>SUM(Rutas_Base!L3)</x:f>
        <x:v>332.45</x:v>
      </x:c>
      <x:c r="S3" s="5" t="n">
        <x:f>ROUND(P3/Vehiculos!$E$8*Vehiculos!$F$8,2)</x:f>
        <x:v>349.08</x:v>
      </x:c>
      <x:c r="T3" s="5" t="n">
        <x:f>ROUND(R3-S3,2)</x:f>
        <x:v>-16.63</x:v>
      </x:c>
      <x:c r="U3" s="5" t="n">
        <x:f>SUM(Rutas_Base!O3)</x:f>
        <x:v>120</x:v>
      </x:c>
      <x:c r="V3" s="5" t="n">
        <x:f>ROUND(P3/Vehiculos!$G$8*60+H3*8,0)</x:f>
        <x:v>127</x:v>
      </x:c>
      <x:c r="W3" s="5" t="n">
        <x:f>U3-V3</x:f>
        <x:v>-7</x:v>
      </x:c>
      <x:c r="X3" s="1" t="n">
        <x:f>Vehiculos!$D$8</x:f>
        <x:v>12</x:v>
      </x:c>
      <x:c r="Y3" s="1" t="str">
        <x:f>IF(H3&lt;=X3,"Sí","No")</x:f>
        <x:v>Sí</x:v>
      </x:c>
      <x:c r="Z3" s="1" t="str">
        <x:f>IF(V3&lt;=Parametros_Operacion!$H$13,"Sí","No")</x:f>
        <x:v>Sí</x:v>
      </x:c>
      <x:c r="AA3" s="1" t="str">
        <x:f>IF(Q3&gt;0,"Ahorro por ruta compartida","Sin ahorro: recorrido equivalente")</x:f>
        <x:v>Sin ahorro: recorrido equivalente</x:v>
      </x:c>
    </x:row>
    <x:row r="4">
      <x:c r="A4" s="1" t="str">
        <x:v>PL-20260501-Z4</x:v>
      </x:c>
      <x:c r="B4" s="1" t="str">
        <x:v>2026-05-01</x:v>
      </x:c>
      <x:c r="C4" s="1" t="str">
        <x:v>Z4</x:v>
      </x:c>
      <x:c r="D4" s="1" t="str">
        <x:v>Arizona</x:v>
      </x:c>
      <x:c r="E4" s="1" t="str">
        <x:v>R002</x:v>
      </x:c>
      <x:c r="F4" s="1" t="str">
        <x:v>Ana López</x:v>
      </x:c>
      <x:c r="G4" s="1" t="str">
        <x:v>V002</x:v>
      </x:c>
      <x:c r="H4" s="1" t="n">
        <x:v>2</x:v>
      </x:c>
      <x:c r="I4" s="1" t="str">
        <x:v>RT-20260501-R006</x:v>
      </x:c>
      <x:c r="J4" s="1" t="n">
        <x:v>1</x:v>
      </x:c>
      <x:c r="K4" s="5" t="n">
        <x:f>SUM(Rutas_Base!T4,Rutas_Base!W4)</x:f>
        <x:v>145</x:v>
      </x:c>
      <x:c r="L4" s="5" t="n">
        <x:f>2*MAX(Parametros_Operacion!$B$2)</x:f>
        <x:v>145</x:v>
      </x:c>
      <x:c r="M4" s="5" t="n">
        <x:f>SUM(Rutas_Base!U4)</x:f>
        <x:v>1.38</x:v>
      </x:c>
      <x:c r="N4" s="5" t="n">
        <x:f>SUM(Rutas_Base!V4)</x:f>
        <x:v>1.38</x:v>
      </x:c>
      <x:c r="O4" s="5" t="n">
        <x:f>SUM(Rutas_Base!H4)</x:f>
        <x:v>146.38</x:v>
      </x:c>
      <x:c r="P4" s="5" t="n">
        <x:f>ROUND(L4+N4,2)</x:f>
        <x:v>146.38</x:v>
      </x:c>
      <x:c r="Q4" s="5" t="n">
        <x:f>ROUND(O4-P4,2)</x:f>
        <x:v>0</x:v>
      </x:c>
      <x:c r="R4" s="5" t="n">
        <x:f>SUM(Rutas_Base!L4)</x:f>
        <x:v>558.08</x:v>
      </x:c>
      <x:c r="S4" s="5" t="n">
        <x:f>ROUND(P4/Vehiculos!$E$3*Vehiculos!$F$3,2)</x:f>
        <x:v>531.5</x:v>
      </x:c>
      <x:c r="T4" s="5" t="n">
        <x:f>ROUND(R4-S4,2)</x:f>
        <x:v>26.58</x:v>
      </x:c>
      <x:c r="U4" s="5" t="n">
        <x:f>SUM(Rutas_Base!O4)</x:f>
        <x:v>203</x:v>
      </x:c>
      <x:c r="V4" s="5" t="n">
        <x:f>ROUND(P4/Vehiculos!$G$3*60+H4*8,0)</x:f>
        <x:v>199</x:v>
      </x:c>
      <x:c r="W4" s="5" t="n">
        <x:f>U4-V4</x:f>
        <x:v>4</x:v>
      </x:c>
      <x:c r="X4" s="1" t="n">
        <x:f>Vehiculos!$D$3</x:f>
        <x:v>12</x:v>
      </x:c>
      <x:c r="Y4" s="1" t="str">
        <x:f>IF(H4&lt;=X4,"Sí","No")</x:f>
        <x:v>Sí</x:v>
      </x:c>
      <x:c r="Z4" s="1" t="str">
        <x:f>IF(V4&lt;=Parametros_Operacion!$H$13,"Sí","No")</x:f>
        <x:v>Sí</x:v>
      </x:c>
      <x:c r="AA4" s="1" t="str">
        <x:f>IF(Q4&gt;0,"Ahorro por ruta compartida","Sin ahorro: recorrido equivalente")</x:f>
        <x:v>Sin ahorro: recorrido equivalente</x:v>
      </x:c>
    </x:row>
    <x:row r="5">
      <x:c r="A5" s="1" t="str">
        <x:v>PL-20260502-Z1</x:v>
      </x:c>
      <x:c r="B5" s="1" t="str">
        <x:v>2026-05-02</x:v>
      </x:c>
      <x:c r="C5" s="1" t="str">
        <x:v>Z1</x:v>
      </x:c>
      <x:c r="D5" s="1" t="str">
        <x:v>La Ceiba + Jutiapa</x:v>
      </x:c>
      <x:c r="E5" s="1" t="str">
        <x:v>R001</x:v>
      </x:c>
      <x:c r="F5" s="1" t="str">
        <x:v>Carlos Mejía</x:v>
      </x:c>
      <x:c r="G5" s="1" t="str">
        <x:v>V001</x:v>
      </x:c>
      <x:c r="H5" s="1" t="n">
        <x:v>2</x:v>
      </x:c>
      <x:c r="I5" s="1" t="str">
        <x:v>RT-20260502-R001 + RT-20260502-R003</x:v>
      </x:c>
      <x:c r="J5" s="1" t="n">
        <x:v>2</x:v>
      </x:c>
      <x:c r="K5" s="5" t="n">
        <x:f>SUM(Rutas_Base!T5,Rutas_Base!W5,Rutas_Base!T6,Rutas_Base!W6)</x:f>
        <x:v>62.8</x:v>
      </x:c>
      <x:c r="L5" s="5" t="n">
        <x:f>2*MAX(Parametros_Operacion!$B$6,Parametros_Operacion!$B$5)</x:f>
        <x:v>62.8</x:v>
      </x:c>
      <x:c r="M5" s="5" t="n">
        <x:f>SUM(Rutas_Base!U5,Rutas_Base!U6)</x:f>
        <x:v>10.440000000000001</x:v>
      </x:c>
      <x:c r="N5" s="5" t="n">
        <x:f>SUM(Rutas_Base!V5,Rutas_Base!V6)</x:f>
        <x:v>10.440000000000001</x:v>
      </x:c>
      <x:c r="O5" s="5" t="n">
        <x:f>SUM(Rutas_Base!H5,Rutas_Base!H6)</x:f>
        <x:v>73.24000000000001</x:v>
      </x:c>
      <x:c r="P5" s="5" t="n">
        <x:f>ROUND(L5+N5,2)</x:f>
        <x:v>73.24</x:v>
      </x:c>
      <x:c r="Q5" s="5" t="n">
        <x:f>ROUND(O5-P5,2)</x:f>
        <x:v>0</x:v>
      </x:c>
      <x:c r="R5" s="5" t="n">
        <x:f>SUM(Rutas_Base!L5,Rutas_Base!L6)</x:f>
        <x:v>277.41999999999996</x:v>
      </x:c>
      <x:c r="S5" s="5" t="n">
        <x:f>ROUND(P5/Vehiculos!$E$2*Vehiculos!$F$2,2)</x:f>
        <x:v>253.85</x:v>
      </x:c>
      <x:c r="T5" s="5" t="n">
        <x:f>ROUND(R5-S5,2)</x:f>
        <x:v>23.57</x:v>
      </x:c>
      <x:c r="U5" s="5" t="n">
        <x:f>SUM(Rutas_Base!O5,Rutas_Base!O6)</x:f>
        <x:v>109</x:v>
      </x:c>
      <x:c r="V5" s="5" t="n">
        <x:f>ROUND(P5/Vehiculos!$G$2*60+H5*8,0)</x:f>
        <x:v>104</x:v>
      </x:c>
      <x:c r="W5" s="5" t="n">
        <x:f>U5-V5</x:f>
        <x:v>5</x:v>
      </x:c>
      <x:c r="X5" s="1" t="n">
        <x:f>Vehiculos!$D$2</x:f>
        <x:v>12</x:v>
      </x:c>
      <x:c r="Y5" s="1" t="str">
        <x:f>IF(H5&lt;=X5,"Sí","No")</x:f>
        <x:v>Sí</x:v>
      </x:c>
      <x:c r="Z5" s="1" t="str">
        <x:f>IF(V5&lt;=Parametros_Operacion!$H$13,"Sí","No")</x:f>
        <x:v>Sí</x:v>
      </x:c>
      <x:c r="AA5" s="1" t="str">
        <x:f>IF(Q5&gt;0,"Ahorro por ruta compartida","Sin ahorro: recorrido equivalente")</x:f>
        <x:v>Sin ahorro: recorrido equivalente</x:v>
      </x:c>
    </x:row>
    <x:row r="6">
      <x:c r="A6" s="1" t="str">
        <x:v>PL-20260502-Z3</x:v>
      </x:c>
      <x:c r="B6" s="1" t="str">
        <x:v>2026-05-02</x:v>
      </x:c>
      <x:c r="C6" s="1" t="str">
        <x:v>Z3</x:v>
      </x:c>
      <x:c r="D6" s="1" t="str">
        <x:v>La Masica</x:v>
      </x:c>
      <x:c r="E6" s="1" t="str">
        <x:v>R007</x:v>
      </x:c>
      <x:c r="F6" s="1" t="str">
        <x:v>María Hernández</x:v>
      </x:c>
      <x:c r="G6" s="1" t="str">
        <x:v>V007</x:v>
      </x:c>
      <x:c r="H6" s="1" t="n">
        <x:v>1</x:v>
      </x:c>
      <x:c r="I6" s="1" t="str">
        <x:v>RT-20260502-R004</x:v>
      </x:c>
      <x:c r="J6" s="1" t="n">
        <x:v>1</x:v>
      </x:c>
      <x:c r="K6" s="5" t="n">
        <x:f>SUM(Rutas_Base!T7,Rutas_Base!W7)</x:f>
        <x:v>82.4</x:v>
      </x:c>
      <x:c r="L6" s="5" t="n">
        <x:f>2*MAX(Parametros_Operacion!$B$7)</x:f>
        <x:v>82.4</x:v>
      </x:c>
      <x:c r="M6" s="5" t="n">
        <x:f>SUM(Rutas_Base!U7)</x:f>
        <x:v>5</x:v>
      </x:c>
      <x:c r="N6" s="5" t="n">
        <x:f>SUM(Rutas_Base!V7)</x:f>
        <x:v>5</x:v>
      </x:c>
      <x:c r="O6" s="5" t="n">
        <x:f>SUM(Rutas_Base!H7)</x:f>
        <x:v>87.4</x:v>
      </x:c>
      <x:c r="P6" s="5" t="n">
        <x:f>ROUND(L6+N6,2)</x:f>
        <x:v>87.4</x:v>
      </x:c>
      <x:c r="Q6" s="5" t="n">
        <x:f>ROUND(O6-P6,2)</x:f>
        <x:v>0</x:v>
      </x:c>
      <x:c r="R6" s="5" t="n">
        <x:f>SUM(Rutas_Base!L7)</x:f>
        <x:v>317.35</x:v>
      </x:c>
      <x:c r="S6" s="5" t="n">
        <x:f>ROUND(P6/Vehiculos!$E$8*Vehiculos!$F$8,2)</x:f>
        <x:v>333.22</x:v>
      </x:c>
      <x:c r="T6" s="5" t="n">
        <x:f>ROUND(R6-S6,2)</x:f>
        <x:v>-15.87</x:v>
      </x:c>
      <x:c r="U6" s="5" t="n">
        <x:f>SUM(Rutas_Base!O7)</x:f>
        <x:v>115</x:v>
      </x:c>
      <x:c r="V6" s="5" t="n">
        <x:f>ROUND(P6/Vehiculos!$G$8*60+H6*8,0)</x:f>
        <x:v>122</x:v>
      </x:c>
      <x:c r="W6" s="5" t="n">
        <x:f>U6-V6</x:f>
        <x:v>-7</x:v>
      </x:c>
      <x:c r="X6" s="1" t="n">
        <x:f>Vehiculos!$D$8</x:f>
        <x:v>12</x:v>
      </x:c>
      <x:c r="Y6" s="1" t="str">
        <x:f>IF(H6&lt;=X6,"Sí","No")</x:f>
        <x:v>Sí</x:v>
      </x:c>
      <x:c r="Z6" s="1" t="str">
        <x:f>IF(V6&lt;=Parametros_Operacion!$H$13,"Sí","No")</x:f>
        <x:v>Sí</x:v>
      </x:c>
      <x:c r="AA6" s="1" t="str">
        <x:f>IF(Q6&gt;0,"Ahorro por ruta compartida","Sin ahorro: recorrido equivalente")</x:f>
        <x:v>Sin ahorro: recorrido equivalente</x:v>
      </x:c>
    </x:row>
    <x:row r="7">
      <x:c r="A7" s="1" t="str">
        <x:v>PL-20260503-Z1</x:v>
      </x:c>
      <x:c r="B7" s="1" t="str">
        <x:v>2026-05-03</x:v>
      </x:c>
      <x:c r="C7" s="1" t="str">
        <x:v>Z1</x:v>
      </x:c>
      <x:c r="D7" s="1" t="str">
        <x:v>La Ceiba + Jutiapa</x:v>
      </x:c>
      <x:c r="E7" s="1" t="str">
        <x:v>R001</x:v>
      </x:c>
      <x:c r="F7" s="1" t="str">
        <x:v>Carlos Mejía</x:v>
      </x:c>
      <x:c r="G7" s="1" t="str">
        <x:v>V001</x:v>
      </x:c>
      <x:c r="H7" s="1" t="n">
        <x:v>2</x:v>
      </x:c>
      <x:c r="I7" s="1" t="str">
        <x:v>RT-20260503-R001 + RT-20260503-R003</x:v>
      </x:c>
      <x:c r="J7" s="1" t="n">
        <x:v>2</x:v>
      </x:c>
      <x:c r="K7" s="5" t="n">
        <x:f>SUM(Rutas_Base!T8,Rutas_Base!W8,Rutas_Base!T10,Rutas_Base!W10)</x:f>
        <x:v>62.8</x:v>
      </x:c>
      <x:c r="L7" s="5" t="n">
        <x:f>2*MAX(Parametros_Operacion!$B$6,Parametros_Operacion!$B$5)</x:f>
        <x:v>62.8</x:v>
      </x:c>
      <x:c r="M7" s="5" t="n">
        <x:f>SUM(Rutas_Base!U8,Rutas_Base!U10)</x:f>
        <x:v>9.600000000000001</x:v>
      </x:c>
      <x:c r="N7" s="5" t="n">
        <x:f>SUM(Rutas_Base!V8,Rutas_Base!V10)</x:f>
        <x:v>9.600000000000001</x:v>
      </x:c>
      <x:c r="O7" s="5" t="n">
        <x:f>SUM(Rutas_Base!H8,Rutas_Base!H10)</x:f>
        <x:v>72.4</x:v>
      </x:c>
      <x:c r="P7" s="5" t="n">
        <x:f>ROUND(L7+N7,2)</x:f>
        <x:v>72.4</x:v>
      </x:c>
      <x:c r="Q7" s="5" t="n">
        <x:f>ROUND(O7-P7,2)</x:f>
        <x:v>0</x:v>
      </x:c>
      <x:c r="R7" s="5" t="n">
        <x:f>SUM(Rutas_Base!L8,Rutas_Base!L10)</x:f>
        <x:v>273.26</x:v>
      </x:c>
      <x:c r="S7" s="5" t="n">
        <x:f>ROUND(P7/Vehiculos!$E$2*Vehiculos!$F$2,2)</x:f>
        <x:v>250.93</x:v>
      </x:c>
      <x:c r="T7" s="5" t="n">
        <x:f>ROUND(R7-S7,2)</x:f>
        <x:v>22.33</x:v>
      </x:c>
      <x:c r="U7" s="5" t="n">
        <x:f>SUM(Rutas_Base!O8,Rutas_Base!O10)</x:f>
        <x:v>108</x:v>
      </x:c>
      <x:c r="V7" s="5" t="n">
        <x:f>ROUND(P7/Vehiculos!$G$2*60+H7*8,0)</x:f>
        <x:v>103</x:v>
      </x:c>
      <x:c r="W7" s="5" t="n">
        <x:f>U7-V7</x:f>
        <x:v>5</x:v>
      </x:c>
      <x:c r="X7" s="1" t="n">
        <x:f>Vehiculos!$D$2</x:f>
        <x:v>12</x:v>
      </x:c>
      <x:c r="Y7" s="1" t="str">
        <x:f>IF(H7&lt;=X7,"Sí","No")</x:f>
        <x:v>Sí</x:v>
      </x:c>
      <x:c r="Z7" s="1" t="str">
        <x:f>IF(V7&lt;=Parametros_Operacion!$H$13,"Sí","No")</x:f>
        <x:v>Sí</x:v>
      </x:c>
      <x:c r="AA7" s="1" t="str">
        <x:f>IF(Q7&gt;0,"Ahorro por ruta compartida","Sin ahorro: recorrido equivalente")</x:f>
        <x:v>Sin ahorro: recorrido equivalente</x:v>
      </x:c>
    </x:row>
    <x:row r="8">
      <x:c r="A8" s="1" t="str">
        <x:v>PL-20260503-Z4</x:v>
      </x:c>
      <x:c r="B8" s="1" t="str">
        <x:v>2026-05-03</x:v>
      </x:c>
      <x:c r="C8" s="1" t="str">
        <x:v>Z4</x:v>
      </x:c>
      <x:c r="D8" s="1" t="str">
        <x:v>Tela</x:v>
      </x:c>
      <x:c r="E8" s="1" t="str">
        <x:v>R002</x:v>
      </x:c>
      <x:c r="F8" s="1" t="str">
        <x:v>Ana López</x:v>
      </x:c>
      <x:c r="G8" s="1" t="str">
        <x:v>V002</x:v>
      </x:c>
      <x:c r="H8" s="1" t="n">
        <x:v>1</x:v>
      </x:c>
      <x:c r="I8" s="1" t="str">
        <x:v>RT-20260503-R002</x:v>
      </x:c>
      <x:c r="J8" s="1" t="n">
        <x:v>1</x:v>
      </x:c>
      <x:c r="K8" s="5" t="n">
        <x:f>SUM(Rutas_Base!T9,Rutas_Base!W9)</x:f>
        <x:v>204.6</x:v>
      </x:c>
      <x:c r="L8" s="5" t="n">
        <x:f>2*MAX(Parametros_Operacion!$B$9)</x:f>
        <x:v>204.6</x:v>
      </x:c>
      <x:c r="M8" s="5" t="n">
        <x:f>SUM(Rutas_Base!U9)</x:f>
        <x:v>9.3</x:v>
      </x:c>
      <x:c r="N8" s="5" t="n">
        <x:f>SUM(Rutas_Base!V9)</x:f>
        <x:v>9.3</x:v>
      </x:c>
      <x:c r="O8" s="5" t="n">
        <x:f>SUM(Rutas_Base!H9)</x:f>
        <x:v>213.9</x:v>
      </x:c>
      <x:c r="P8" s="5" t="n">
        <x:f>ROUND(L8+N8,2)</x:f>
        <x:v>213.9</x:v>
      </x:c>
      <x:c r="Q8" s="5" t="n">
        <x:f>ROUND(O8-P8,2)</x:f>
        <x:v>0</x:v>
      </x:c>
      <x:c r="R8" s="5" t="n">
        <x:f>SUM(Rutas_Base!L9)</x:f>
        <x:v>776.67</x:v>
      </x:c>
      <x:c r="S8" s="5" t="n">
        <x:f>ROUND(P8/Vehiculos!$E$3*Vehiculos!$F$3,2)</x:f>
        <x:v>776.67</x:v>
      </x:c>
      <x:c r="T8" s="5" t="n">
        <x:f>ROUND(R8-S8,2)</x:f>
        <x:v>0</x:v>
      </x:c>
      <x:c r="U8" s="5" t="n">
        <x:f>SUM(Rutas_Base!O9)</x:f>
        <x:v>275</x:v>
      </x:c>
      <x:c r="V8" s="5" t="n">
        <x:f>ROUND(P8/Vehiculos!$G$3*60+H8*8,0)</x:f>
        <x:v>275</x:v>
      </x:c>
      <x:c r="W8" s="5" t="n">
        <x:f>U8-V8</x:f>
        <x:v>0</x:v>
      </x:c>
      <x:c r="X8" s="1" t="n">
        <x:f>Vehiculos!$D$3</x:f>
        <x:v>12</x:v>
      </x:c>
      <x:c r="Y8" s="1" t="str">
        <x:f>IF(H8&lt;=X8,"Sí","No")</x:f>
        <x:v>Sí</x:v>
      </x:c>
      <x:c r="Z8" s="1" t="str">
        <x:f>IF(V8&lt;=Parametros_Operacion!$H$13,"Sí","No")</x:f>
        <x:v>Sí</x:v>
      </x:c>
      <x:c r="AA8" s="1" t="str">
        <x:f>IF(Q8&gt;0,"Ahorro por ruta compartida","Sin ahorro: recorrido equivalente")</x:f>
        <x:v>Sin ahorro: recorrido equivalente</x:v>
      </x:c>
    </x:row>
    <x:row r="9">
      <x:c r="A9" s="1" t="str">
        <x:v>PL-20260504-Z2</x:v>
      </x:c>
      <x:c r="B9" s="1" t="str">
        <x:v>2026-05-04</x:v>
      </x:c>
      <x:c r="C9" s="1" t="str">
        <x:v>Z2</x:v>
      </x:c>
      <x:c r="D9" s="1" t="str">
        <x:v>San Francisco</x:v>
      </x:c>
      <x:c r="E9" s="1" t="str">
        <x:v>R004</x:v>
      </x:c>
      <x:c r="F9" s="1" t="str">
        <x:v>Daniela Cruz</x:v>
      </x:c>
      <x:c r="G9" s="1" t="str">
        <x:v>V004</x:v>
      </x:c>
      <x:c r="H9" s="1" t="n">
        <x:v>1</x:v>
      </x:c>
      <x:c r="I9" s="1" t="str">
        <x:v>RT-20260504-R005</x:v>
      </x:c>
      <x:c r="J9" s="1" t="n">
        <x:v>1</x:v>
      </x:c>
      <x:c r="K9" s="5" t="n">
        <x:f>SUM(Rutas_Base!T12,Rutas_Base!W12)</x:f>
        <x:v>70</x:v>
      </x:c>
      <x:c r="L9" s="5" t="n">
        <x:f>2*MAX(Parametros_Operacion!$B$8)</x:f>
        <x:v>70</x:v>
      </x:c>
      <x:c r="M9" s="5" t="n">
        <x:f>SUM(Rutas_Base!U12)</x:f>
        <x:v>6.04</x:v>
      </x:c>
      <x:c r="N9" s="5" t="n">
        <x:f>SUM(Rutas_Base!V12)</x:f>
        <x:v>6.04</x:v>
      </x:c>
      <x:c r="O9" s="5" t="n">
        <x:f>SUM(Rutas_Base!H12)</x:f>
        <x:v>76.04</x:v>
      </x:c>
      <x:c r="P9" s="5" t="n">
        <x:f>ROUND(L9+N9,2)</x:f>
        <x:v>76.04</x:v>
      </x:c>
      <x:c r="Q9" s="5" t="n">
        <x:f>ROUND(O9-P9,2)</x:f>
        <x:v>0</x:v>
      </x:c>
      <x:c r="R9" s="5" t="n">
        <x:f>SUM(Rutas_Base!L12)</x:f>
        <x:v>362.38</x:v>
      </x:c>
      <x:c r="S9" s="5" t="n">
        <x:f>ROUND(P9/Vehiculos!$E$5*Vehiculos!$F$5,2)</x:f>
        <x:v>276.1</x:v>
      </x:c>
      <x:c r="T9" s="5" t="n">
        <x:f>ROUND(R9-S9,2)</x:f>
        <x:v>86.28</x:v>
      </x:c>
      <x:c r="U9" s="5" t="n">
        <x:f>SUM(Rutas_Base!O12)</x:f>
        <x:v>114</x:v>
      </x:c>
      <x:c r="V9" s="5" t="n">
        <x:f>ROUND(P9/Vehiculos!$G$5*60+H9*8,0)</x:f>
        <x:v>101</x:v>
      </x:c>
      <x:c r="W9" s="5" t="n">
        <x:f>U9-V9</x:f>
        <x:v>13</x:v>
      </x:c>
      <x:c r="X9" s="1" t="n">
        <x:f>Vehiculos!$D$5</x:f>
        <x:v>12</x:v>
      </x:c>
      <x:c r="Y9" s="1" t="str">
        <x:f>IF(H9&lt;=X9,"Sí","No")</x:f>
        <x:v>Sí</x:v>
      </x:c>
      <x:c r="Z9" s="1" t="str">
        <x:f>IF(V9&lt;=Parametros_Operacion!$H$13,"Sí","No")</x:f>
        <x:v>Sí</x:v>
      </x:c>
      <x:c r="AA9" s="1" t="str">
        <x:f>IF(Q9&gt;0,"Ahorro por ruta compartida","Sin ahorro: recorrido equivalente")</x:f>
        <x:v>Sin ahorro: recorrido equivalente</x:v>
      </x:c>
    </x:row>
    <x:row r="10">
      <x:c r="A10" s="1" t="str">
        <x:v>PL-20260504-Z3</x:v>
      </x:c>
      <x:c r="B10" s="1" t="str">
        <x:v>2026-05-04</x:v>
      </x:c>
      <x:c r="C10" s="1" t="str">
        <x:v>Z3</x:v>
      </x:c>
      <x:c r="D10" s="1" t="str">
        <x:v>La Masica + Esparta</x:v>
      </x:c>
      <x:c r="E10" s="1" t="str">
        <x:v>R007</x:v>
      </x:c>
      <x:c r="F10" s="1" t="str">
        <x:v>María Hernández</x:v>
      </x:c>
      <x:c r="G10" s="1" t="str">
        <x:v>V007</x:v>
      </x:c>
      <x:c r="H10" s="1" t="n">
        <x:v>4</x:v>
      </x:c>
      <x:c r="I10" s="1" t="str">
        <x:v>RT-20260504-R004 + RT-20260504-R007</x:v>
      </x:c>
      <x:c r="J10" s="1" t="n">
        <x:v>2</x:v>
      </x:c>
      <x:c r="K10" s="5" t="n">
        <x:f>SUM(Rutas_Base!T11,Rutas_Base!W11,Rutas_Base!T13,Rutas_Base!W13)</x:f>
        <x:v>233.4</x:v>
      </x:c>
      <x:c r="L10" s="5" t="n">
        <x:f>2*MAX(Parametros_Operacion!$B$7,Parametros_Operacion!$B$4)</x:f>
        <x:v>151</x:v>
      </x:c>
      <x:c r="M10" s="5" t="n">
        <x:f>SUM(Rutas_Base!U11,Rutas_Base!U13)</x:f>
        <x:v>16.25</x:v>
      </x:c>
      <x:c r="N10" s="5" t="n">
        <x:f>SUM(Rutas_Base!V11,Rutas_Base!V13)</x:f>
        <x:v>16.25</x:v>
      </x:c>
      <x:c r="O10" s="5" t="n">
        <x:f>SUM(Rutas_Base!H11,Rutas_Base!H13)</x:f>
        <x:v>249.65</x:v>
      </x:c>
      <x:c r="P10" s="5" t="n">
        <x:f>ROUND(L10+N10,2)</x:f>
        <x:v>167.25</x:v>
      </x:c>
      <x:c r="Q10" s="5" t="n">
        <x:f>ROUND(O10-P10,2)</x:f>
        <x:v>82.4</x:v>
      </x:c>
      <x:c r="R10" s="5" t="n">
        <x:f>SUM(Rutas_Base!L11,Rutas_Base!L13)</x:f>
        <x:v>935.1700000000001</x:v>
      </x:c>
      <x:c r="S10" s="5" t="n">
        <x:f>ROUND(P10/Vehiculos!$E$8*Vehiculos!$F$8,2)</x:f>
        <x:v>637.65</x:v>
      </x:c>
      <x:c r="T10" s="5" t="n">
        <x:f>ROUND(R10-S10,2)</x:f>
        <x:v>297.52</x:v>
      </x:c>
      <x:c r="U10" s="5" t="n">
        <x:f>SUM(Rutas_Base!O11,Rutas_Base!O13)</x:f>
        <x:v>350</x:v>
      </x:c>
      <x:c r="V10" s="5" t="n">
        <x:f>ROUND(P10/Vehiculos!$G$8*60+H10*8,0)</x:f>
        <x:v>250</x:v>
      </x:c>
      <x:c r="W10" s="5" t="n">
        <x:f>U10-V10</x:f>
        <x:v>100</x:v>
      </x:c>
      <x:c r="X10" s="1" t="n">
        <x:f>Vehiculos!$D$8</x:f>
        <x:v>12</x:v>
      </x:c>
      <x:c r="Y10" s="1" t="str">
        <x:f>IF(H10&lt;=X10,"Sí","No")</x:f>
        <x:v>Sí</x:v>
      </x:c>
      <x:c r="Z10" s="1" t="str">
        <x:f>IF(V10&lt;=Parametros_Operacion!$H$13,"Sí","No")</x:f>
        <x:v>Sí</x:v>
      </x:c>
      <x:c r="AA10" s="1" t="str">
        <x:f>IF(Q10&gt;0,"Ahorro por ruta compartida","Sin ahorro: recorrido equivalente")</x:f>
        <x:v>Ahorro por ruta compartida</x:v>
      </x:c>
    </x:row>
    <x:row r="11">
      <x:c r="A11" s="1" t="str">
        <x:v>PL-20260505-Z1</x:v>
      </x:c>
      <x:c r="B11" s="1" t="str">
        <x:v>2026-05-05</x:v>
      </x:c>
      <x:c r="C11" s="1" t="str">
        <x:v>Z1</x:v>
      </x:c>
      <x:c r="D11" s="1" t="str">
        <x:v>La Ceiba</x:v>
      </x:c>
      <x:c r="E11" s="1" t="str">
        <x:v>R001</x:v>
      </x:c>
      <x:c r="F11" s="1" t="str">
        <x:v>Carlos Mejía</x:v>
      </x:c>
      <x:c r="G11" s="1" t="str">
        <x:v>V001</x:v>
      </x:c>
      <x:c r="H11" s="1" t="n">
        <x:v>1</x:v>
      </x:c>
      <x:c r="I11" s="1" t="str">
        <x:v>RT-20260505-R001</x:v>
      </x:c>
      <x:c r="J11" s="1" t="n">
        <x:v>1</x:v>
      </x:c>
      <x:c r="K11" s="5" t="n">
        <x:f>SUM(Rutas_Base!T14,Rutas_Base!W14)</x:f>
        <x:v>0</x:v>
      </x:c>
      <x:c r="L11" s="5" t="n">
        <x:f>2*MAX(Parametros_Operacion!$B$6)</x:f>
        <x:v>0</x:v>
      </x:c>
      <x:c r="M11" s="5" t="n">
        <x:f>SUM(Rutas_Base!U14)</x:f>
        <x:v>5.2</x:v>
      </x:c>
      <x:c r="N11" s="5" t="n">
        <x:f>SUM(Rutas_Base!V14)</x:f>
        <x:v>5.2</x:v>
      </x:c>
      <x:c r="O11" s="5" t="n">
        <x:f>SUM(Rutas_Base!H14)</x:f>
        <x:v>5.2</x:v>
      </x:c>
      <x:c r="P11" s="5" t="n">
        <x:f>ROUND(L11+N11,2)</x:f>
        <x:v>5.2</x:v>
      </x:c>
      <x:c r="Q11" s="5" t="n">
        <x:f>ROUND(O11-P11,2)</x:f>
        <x:v>0</x:v>
      </x:c>
      <x:c r="R11" s="5" t="n">
        <x:f>SUM(Rutas_Base!L14)</x:f>
        <x:v>18.02</x:v>
      </x:c>
      <x:c r="S11" s="5" t="n">
        <x:f>ROUND(P11/Vehiculos!$E$2*Vehiculos!$F$2,2)</x:f>
        <x:v>18.02</x:v>
      </x:c>
      <x:c r="T11" s="5" t="n">
        <x:f>ROUND(R11-S11,2)</x:f>
        <x:v>0</x:v>
      </x:c>
      <x:c r="U11" s="5" t="n">
        <x:f>SUM(Rutas_Base!O14)</x:f>
        <x:v>14</x:v>
      </x:c>
      <x:c r="V11" s="5" t="n">
        <x:f>ROUND(P11/Vehiculos!$G$2*60+H11*8,0)</x:f>
        <x:v>14</x:v>
      </x:c>
      <x:c r="W11" s="5" t="n">
        <x:f>U11-V11</x:f>
        <x:v>0</x:v>
      </x:c>
      <x:c r="X11" s="1" t="n">
        <x:f>Vehiculos!$D$2</x:f>
        <x:v>12</x:v>
      </x:c>
      <x:c r="Y11" s="1" t="str">
        <x:f>IF(H11&lt;=X11,"Sí","No")</x:f>
        <x:v>Sí</x:v>
      </x:c>
      <x:c r="Z11" s="1" t="str">
        <x:f>IF(V11&lt;=Parametros_Operacion!$H$13,"Sí","No")</x:f>
        <x:v>Sí</x:v>
      </x:c>
      <x:c r="AA11" s="1" t="str">
        <x:f>IF(Q11&gt;0,"Ahorro por ruta compartida","Sin ahorro: recorrido equivalente")</x:f>
        <x:v>Sin ahorro: recorrido equivalente</x:v>
      </x:c>
    </x:row>
    <x:row r="12">
      <x:c r="A12" s="1" t="str">
        <x:v>PL-20260505-Z3</x:v>
      </x:c>
      <x:c r="B12" s="1" t="str">
        <x:v>2026-05-05</x:v>
      </x:c>
      <x:c r="C12" s="1" t="str">
        <x:v>Z3</x:v>
      </x:c>
      <x:c r="D12" s="1" t="str">
        <x:v>La Masica + Esparta</x:v>
      </x:c>
      <x:c r="E12" s="1" t="str">
        <x:v>R007</x:v>
      </x:c>
      <x:c r="F12" s="1" t="str">
        <x:v>María Hernández</x:v>
      </x:c>
      <x:c r="G12" s="1" t="str">
        <x:v>V007</x:v>
      </x:c>
      <x:c r="H12" s="1" t="n">
        <x:v>4</x:v>
      </x:c>
      <x:c r="I12" s="1" t="str">
        <x:v>RT-20260505-R004 + RT-20260505-R007</x:v>
      </x:c>
      <x:c r="J12" s="1" t="n">
        <x:v>2</x:v>
      </x:c>
      <x:c r="K12" s="5" t="n">
        <x:f>SUM(Rutas_Base!T15,Rutas_Base!W15,Rutas_Base!T17,Rutas_Base!W17)</x:f>
        <x:v>233.4</x:v>
      </x:c>
      <x:c r="L12" s="5" t="n">
        <x:f>2*MAX(Parametros_Operacion!$B$7,Parametros_Operacion!$B$4)</x:f>
        <x:v>151</x:v>
      </x:c>
      <x:c r="M12" s="5" t="n">
        <x:f>SUM(Rutas_Base!U15,Rutas_Base!U17)</x:f>
        <x:v>26.909999999999997</x:v>
      </x:c>
      <x:c r="N12" s="5" t="n">
        <x:f>SUM(Rutas_Base!V15,Rutas_Base!V17)</x:f>
        <x:v>26.909999999999997</x:v>
      </x:c>
      <x:c r="O12" s="5" t="n">
        <x:f>SUM(Rutas_Base!H15,Rutas_Base!H17)</x:f>
        <x:v>260.31</x:v>
      </x:c>
      <x:c r="P12" s="5" t="n">
        <x:f>ROUND(L12+N12,2)</x:f>
        <x:v>177.91</x:v>
      </x:c>
      <x:c r="Q12" s="5" t="n">
        <x:f>ROUND(O12-P12,2)</x:f>
        <x:v>82.4</x:v>
      </x:c>
      <x:c r="R12" s="5" t="n">
        <x:f>SUM(Rutas_Base!L15,Rutas_Base!L17)</x:f>
        <x:v>974.3800000000001</x:v>
      </x:c>
      <x:c r="S12" s="5" t="n">
        <x:f>ROUND(P12/Vehiculos!$E$8*Vehiculos!$F$8,2)</x:f>
        <x:v>678.29</x:v>
      </x:c>
      <x:c r="T12" s="5" t="n">
        <x:f>ROUND(R12-S12,2)</x:f>
        <x:v>296.09</x:v>
      </x:c>
      <x:c r="U12" s="5" t="n">
        <x:f>SUM(Rutas_Base!O15,Rutas_Base!O17)</x:f>
        <x:v>364</x:v>
      </x:c>
      <x:c r="V12" s="5" t="n">
        <x:f>ROUND(P12/Vehiculos!$G$8*60+H12*8,0)</x:f>
        <x:v>264</x:v>
      </x:c>
      <x:c r="W12" s="5" t="n">
        <x:f>U12-V12</x:f>
        <x:v>100</x:v>
      </x:c>
      <x:c r="X12" s="1" t="n">
        <x:f>Vehiculos!$D$8</x:f>
        <x:v>12</x:v>
      </x:c>
      <x:c r="Y12" s="1" t="str">
        <x:f>IF(H12&lt;=X12,"Sí","No")</x:f>
        <x:v>Sí</x:v>
      </x:c>
      <x:c r="Z12" s="1" t="str">
        <x:f>IF(V12&lt;=Parametros_Operacion!$H$13,"Sí","No")</x:f>
        <x:v>Sí</x:v>
      </x:c>
      <x:c r="AA12" s="1" t="str">
        <x:f>IF(Q12&gt;0,"Ahorro por ruta compartida","Sin ahorro: recorrido equivalente")</x:f>
        <x:v>Ahorro por ruta compartida</x:v>
      </x:c>
    </x:row>
    <x:row r="13">
      <x:c r="A13" s="1" t="str">
        <x:v>PL-20260505-Z4</x:v>
      </x:c>
      <x:c r="B13" s="1" t="str">
        <x:v>2026-05-05</x:v>
      </x:c>
      <x:c r="C13" s="1" t="str">
        <x:v>Z4</x:v>
      </x:c>
      <x:c r="D13" s="1" t="str">
        <x:v>Arizona</x:v>
      </x:c>
      <x:c r="E13" s="1" t="str">
        <x:v>R002</x:v>
      </x:c>
      <x:c r="F13" s="1" t="str">
        <x:v>Ana López</x:v>
      </x:c>
      <x:c r="G13" s="1" t="str">
        <x:v>V002</x:v>
      </x:c>
      <x:c r="H13" s="1" t="n">
        <x:v>1</x:v>
      </x:c>
      <x:c r="I13" s="1" t="str">
        <x:v>RT-20260505-R006</x:v>
      </x:c>
      <x:c r="J13" s="1" t="n">
        <x:v>1</x:v>
      </x:c>
      <x:c r="K13" s="5" t="n">
        <x:f>SUM(Rutas_Base!T16,Rutas_Base!W16)</x:f>
        <x:v>145</x:v>
      </x:c>
      <x:c r="L13" s="5" t="n">
        <x:f>2*MAX(Parametros_Operacion!$B$2)</x:f>
        <x:v>145</x:v>
      </x:c>
      <x:c r="M13" s="5" t="n">
        <x:f>SUM(Rutas_Base!U16)</x:f>
        <x:v>6.3</x:v>
      </x:c>
      <x:c r="N13" s="5" t="n">
        <x:f>SUM(Rutas_Base!V16)</x:f>
        <x:v>6.3</x:v>
      </x:c>
      <x:c r="O13" s="5" t="n">
        <x:f>SUM(Rutas_Base!H16)</x:f>
        <x:v>151.3</x:v>
      </x:c>
      <x:c r="P13" s="5" t="n">
        <x:f>ROUND(L13+N13,2)</x:f>
        <x:v>151.3</x:v>
      </x:c>
      <x:c r="Q13" s="5" t="n">
        <x:f>ROUND(O13-P13,2)</x:f>
        <x:v>0</x:v>
      </x:c>
      <x:c r="R13" s="5" t="n">
        <x:f>SUM(Rutas_Base!L16)</x:f>
        <x:v>576.84</x:v>
      </x:c>
      <x:c r="S13" s="5" t="n">
        <x:f>ROUND(P13/Vehiculos!$E$3*Vehiculos!$F$3,2)</x:f>
        <x:v>549.37</x:v>
      </x:c>
      <x:c r="T13" s="5" t="n">
        <x:f>ROUND(R13-S13,2)</x:f>
        <x:v>27.47</x:v>
      </x:c>
      <x:c r="U13" s="5" t="n">
        <x:f>SUM(Rutas_Base!O16)</x:f>
        <x:v>201</x:v>
      </x:c>
      <x:c r="V13" s="5" t="n">
        <x:f>ROUND(P13/Vehiculos!$G$3*60+H13*8,0)</x:f>
        <x:v>197</x:v>
      </x:c>
      <x:c r="W13" s="5" t="n">
        <x:f>U13-V13</x:f>
        <x:v>4</x:v>
      </x:c>
      <x:c r="X13" s="1" t="n">
        <x:f>Vehiculos!$D$3</x:f>
        <x:v>12</x:v>
      </x:c>
      <x:c r="Y13" s="1" t="str">
        <x:f>IF(H13&lt;=X13,"Sí","No")</x:f>
        <x:v>Sí</x:v>
      </x:c>
      <x:c r="Z13" s="1" t="str">
        <x:f>IF(V13&lt;=Parametros_Operacion!$H$13,"Sí","No")</x:f>
        <x:v>Sí</x:v>
      </x:c>
      <x:c r="AA13" s="1" t="str">
        <x:f>IF(Q13&gt;0,"Ahorro por ruta compartida","Sin ahorro: recorrido equivalente")</x:f>
        <x:v>Sin ahorro: recorrido equivalente</x:v>
      </x:c>
    </x:row>
    <x:row r="14">
      <x:c r="A14" s="1" t="str">
        <x:v>PL-20260506-Z1</x:v>
      </x:c>
      <x:c r="B14" s="1" t="str">
        <x:v>2026-05-06</x:v>
      </x:c>
      <x:c r="C14" s="1" t="str">
        <x:v>Z1</x:v>
      </x:c>
      <x:c r="D14" s="1" t="str">
        <x:v>La Ceiba</x:v>
      </x:c>
      <x:c r="E14" s="1" t="str">
        <x:v>R001</x:v>
      </x:c>
      <x:c r="F14" s="1" t="str">
        <x:v>Carlos Mejía</x:v>
      </x:c>
      <x:c r="G14" s="1" t="str">
        <x:v>V001</x:v>
      </x:c>
      <x:c r="H14" s="1" t="n">
        <x:v>2</x:v>
      </x:c>
      <x:c r="I14" s="1" t="str">
        <x:v>RT-20260506-R001</x:v>
      </x:c>
      <x:c r="J14" s="1" t="n">
        <x:v>1</x:v>
      </x:c>
      <x:c r="K14" s="5" t="n">
        <x:f>SUM(Rutas_Base!T18,Rutas_Base!W18)</x:f>
        <x:v>0</x:v>
      </x:c>
      <x:c r="L14" s="5" t="n">
        <x:f>2*MAX(Parametros_Operacion!$B$6)</x:f>
        <x:v>0</x:v>
      </x:c>
      <x:c r="M14" s="5" t="n">
        <x:f>SUM(Rutas_Base!U18)</x:f>
        <x:v>10.62</x:v>
      </x:c>
      <x:c r="N14" s="5" t="n">
        <x:f>SUM(Rutas_Base!V18)</x:f>
        <x:v>10.62</x:v>
      </x:c>
      <x:c r="O14" s="5" t="n">
        <x:f>SUM(Rutas_Base!H18)</x:f>
        <x:v>10.62</x:v>
      </x:c>
      <x:c r="P14" s="5" t="n">
        <x:f>ROUND(L14+N14,2)</x:f>
        <x:v>10.62</x:v>
      </x:c>
      <x:c r="Q14" s="5" t="n">
        <x:f>ROUND(O14-P14,2)</x:f>
        <x:v>0</x:v>
      </x:c>
      <x:c r="R14" s="5" t="n">
        <x:f>SUM(Rutas_Base!L18)</x:f>
        <x:v>36.8</x:v>
      </x:c>
      <x:c r="S14" s="5" t="n">
        <x:f>ROUND(P14/Vehiculos!$E$2*Vehiculos!$F$2,2)</x:f>
        <x:v>36.81</x:v>
      </x:c>
      <x:c r="T14" s="5" t="n">
        <x:f>ROUND(R14-S14,2)</x:f>
        <x:v>-0.01</x:v>
      </x:c>
      <x:c r="U14" s="5" t="n">
        <x:f>SUM(Rutas_Base!O18)</x:f>
        <x:v>29</x:v>
      </x:c>
      <x:c r="V14" s="5" t="n">
        <x:f>ROUND(P14/Vehiculos!$G$2*60+H14*8,0)</x:f>
        <x:v>29</x:v>
      </x:c>
      <x:c r="W14" s="5" t="n">
        <x:f>U14-V14</x:f>
        <x:v>0</x:v>
      </x:c>
      <x:c r="X14" s="1" t="n">
        <x:f>Vehiculos!$D$2</x:f>
        <x:v>12</x:v>
      </x:c>
      <x:c r="Y14" s="1" t="str">
        <x:f>IF(H14&lt;=X14,"Sí","No")</x:f>
        <x:v>Sí</x:v>
      </x:c>
      <x:c r="Z14" s="1" t="str">
        <x:f>IF(V14&lt;=Parametros_Operacion!$H$13,"Sí","No")</x:f>
        <x:v>Sí</x:v>
      </x:c>
      <x:c r="AA14" s="1" t="str">
        <x:f>IF(Q14&gt;0,"Ahorro por ruta compartida","Sin ahorro: recorrido equivalente")</x:f>
        <x:v>Sin ahorro: recorrido equivalente</x:v>
      </x:c>
    </x:row>
    <x:row r="15">
      <x:c r="A15" s="1" t="str">
        <x:v>PL-20260506-Z2</x:v>
      </x:c>
      <x:c r="B15" s="1" t="str">
        <x:v>2026-05-06</x:v>
      </x:c>
      <x:c r="C15" s="1" t="str">
        <x:v>Z2</x:v>
      </x:c>
      <x:c r="D15" s="1" t="str">
        <x:v>San Francisco</x:v>
      </x:c>
      <x:c r="E15" s="1" t="str">
        <x:v>R004</x:v>
      </x:c>
      <x:c r="F15" s="1" t="str">
        <x:v>Daniela Cruz</x:v>
      </x:c>
      <x:c r="G15" s="1" t="str">
        <x:v>V004</x:v>
      </x:c>
      <x:c r="H15" s="1" t="n">
        <x:v>1</x:v>
      </x:c>
      <x:c r="I15" s="1" t="str">
        <x:v>RT-20260506-R005</x:v>
      </x:c>
      <x:c r="J15" s="1" t="n">
        <x:v>1</x:v>
      </x:c>
      <x:c r="K15" s="5" t="n">
        <x:f>SUM(Rutas_Base!T20,Rutas_Base!W20)</x:f>
        <x:v>70</x:v>
      </x:c>
      <x:c r="L15" s="5" t="n">
        <x:f>2*MAX(Parametros_Operacion!$B$8)</x:f>
        <x:v>70</x:v>
      </x:c>
      <x:c r="M15" s="5" t="n">
        <x:f>SUM(Rutas_Base!U20)</x:f>
        <x:v>5.68</x:v>
      </x:c>
      <x:c r="N15" s="5" t="n">
        <x:f>SUM(Rutas_Base!V20)</x:f>
        <x:v>5.68</x:v>
      </x:c>
      <x:c r="O15" s="5" t="n">
        <x:f>SUM(Rutas_Base!H20)</x:f>
        <x:v>75.68</x:v>
      </x:c>
      <x:c r="P15" s="5" t="n">
        <x:f>ROUND(L15+N15,2)</x:f>
        <x:v>75.68</x:v>
      </x:c>
      <x:c r="Q15" s="5" t="n">
        <x:f>ROUND(O15-P15,2)</x:f>
        <x:v>0</x:v>
      </x:c>
      <x:c r="R15" s="5" t="n">
        <x:f>SUM(Rutas_Base!L20)</x:f>
        <x:v>360.67</x:v>
      </x:c>
      <x:c r="S15" s="5" t="n">
        <x:f>ROUND(P15/Vehiculos!$E$5*Vehiculos!$F$5,2)</x:f>
        <x:v>274.79</x:v>
      </x:c>
      <x:c r="T15" s="5" t="n">
        <x:f>ROUND(R15-S15,2)</x:f>
        <x:v>85.88</x:v>
      </x:c>
      <x:c r="U15" s="5" t="n">
        <x:f>SUM(Rutas_Base!O20)</x:f>
        <x:v>114</x:v>
      </x:c>
      <x:c r="V15" s="5" t="n">
        <x:f>ROUND(P15/Vehiculos!$G$5*60+H15*8,0)</x:f>
        <x:v>101</x:v>
      </x:c>
      <x:c r="W15" s="5" t="n">
        <x:f>U15-V15</x:f>
        <x:v>13</x:v>
      </x:c>
      <x:c r="X15" s="1" t="n">
        <x:f>Vehiculos!$D$5</x:f>
        <x:v>12</x:v>
      </x:c>
      <x:c r="Y15" s="1" t="str">
        <x:f>IF(H15&lt;=X15,"Sí","No")</x:f>
        <x:v>Sí</x:v>
      </x:c>
      <x:c r="Z15" s="1" t="str">
        <x:f>IF(V15&lt;=Parametros_Operacion!$H$13,"Sí","No")</x:f>
        <x:v>Sí</x:v>
      </x:c>
      <x:c r="AA15" s="1" t="str">
        <x:f>IF(Q15&gt;0,"Ahorro por ruta compartida","Sin ahorro: recorrido equivalente")</x:f>
        <x:v>Sin ahorro: recorrido equivalente</x:v>
      </x:c>
    </x:row>
    <x:row r="16">
      <x:c r="A16" s="1" t="str">
        <x:v>PL-20260506-Z3</x:v>
      </x:c>
      <x:c r="B16" s="1" t="str">
        <x:v>2026-05-06</x:v>
      </x:c>
      <x:c r="C16" s="1" t="str">
        <x:v>Z3</x:v>
      </x:c>
      <x:c r="D16" s="1" t="str">
        <x:v>Esparta</x:v>
      </x:c>
      <x:c r="E16" s="1" t="str">
        <x:v>R007</x:v>
      </x:c>
      <x:c r="F16" s="1" t="str">
        <x:v>María Hernández</x:v>
      </x:c>
      <x:c r="G16" s="1" t="str">
        <x:v>V007</x:v>
      </x:c>
      <x:c r="H16" s="1" t="n">
        <x:v>1</x:v>
      </x:c>
      <x:c r="I16" s="1" t="str">
        <x:v>RT-20260506-R007</x:v>
      </x:c>
      <x:c r="J16" s="1" t="n">
        <x:v>1</x:v>
      </x:c>
      <x:c r="K16" s="5" t="n">
        <x:f>SUM(Rutas_Base!T21,Rutas_Base!W21)</x:f>
        <x:v>151</x:v>
      </x:c>
      <x:c r="L16" s="5" t="n">
        <x:f>2*MAX(Parametros_Operacion!$B$4)</x:f>
        <x:v>151</x:v>
      </x:c>
      <x:c r="M16" s="5" t="n">
        <x:f>SUM(Rutas_Base!U21)</x:f>
        <x:v>2.3</x:v>
      </x:c>
      <x:c r="N16" s="5" t="n">
        <x:f>SUM(Rutas_Base!V21)</x:f>
        <x:v>2.3</x:v>
      </x:c>
      <x:c r="O16" s="5" t="n">
        <x:f>SUM(Rutas_Base!H21)</x:f>
        <x:v>153.3</x:v>
      </x:c>
      <x:c r="P16" s="5" t="n">
        <x:f>ROUND(L16+N16,2)</x:f>
        <x:v>153.3</x:v>
      </x:c>
      <x:c r="Q16" s="5" t="n">
        <x:f>ROUND(O16-P16,2)</x:f>
        <x:v>0</x:v>
      </x:c>
      <x:c r="R16" s="5" t="n">
        <x:f>SUM(Rutas_Base!L21)</x:f>
        <x:v>584.46</x:v>
      </x:c>
      <x:c r="S16" s="5" t="n">
        <x:f>ROUND(P16/Vehiculos!$E$8*Vehiculos!$F$8,2)</x:f>
        <x:v>584.46</x:v>
      </x:c>
      <x:c r="T16" s="5" t="n">
        <x:f>ROUND(R16-S16,2)</x:f>
        <x:v>0</x:v>
      </x:c>
      <x:c r="U16" s="5" t="n">
        <x:f>SUM(Rutas_Base!O21)</x:f>
        <x:v>208</x:v>
      </x:c>
      <x:c r="V16" s="5" t="n">
        <x:f>ROUND(P16/Vehiculos!$G$8*60+H16*8,0)</x:f>
        <x:v>208</x:v>
      </x:c>
      <x:c r="W16" s="5" t="n">
        <x:f>U16-V16</x:f>
        <x:v>0</x:v>
      </x:c>
      <x:c r="X16" s="1" t="n">
        <x:f>Vehiculos!$D$8</x:f>
        <x:v>12</x:v>
      </x:c>
      <x:c r="Y16" s="1" t="str">
        <x:f>IF(H16&lt;=X16,"Sí","No")</x:f>
        <x:v>Sí</x:v>
      </x:c>
      <x:c r="Z16" s="1" t="str">
        <x:f>IF(V16&lt;=Parametros_Operacion!$H$13,"Sí","No")</x:f>
        <x:v>Sí</x:v>
      </x:c>
      <x:c r="AA16" s="1" t="str">
        <x:f>IF(Q16&gt;0,"Ahorro por ruta compartida","Sin ahorro: recorrido equivalente")</x:f>
        <x:v>Sin ahorro: recorrido equivalente</x:v>
      </x:c>
    </x:row>
    <x:row r="17">
      <x:c r="A17" s="1" t="str">
        <x:v>PL-20260506-Z4</x:v>
      </x:c>
      <x:c r="B17" s="1" t="str">
        <x:v>2026-05-06</x:v>
      </x:c>
      <x:c r="C17" s="1" t="str">
        <x:v>Z4</x:v>
      </x:c>
      <x:c r="D17" s="1" t="str">
        <x:v>Tela</x:v>
      </x:c>
      <x:c r="E17" s="1" t="str">
        <x:v>R002</x:v>
      </x:c>
      <x:c r="F17" s="1" t="str">
        <x:v>Ana López</x:v>
      </x:c>
      <x:c r="G17" s="1" t="str">
        <x:v>V002</x:v>
      </x:c>
      <x:c r="H17" s="1" t="n">
        <x:v>1</x:v>
      </x:c>
      <x:c r="I17" s="1" t="str">
        <x:v>RT-20260506-R002</x:v>
      </x:c>
      <x:c r="J17" s="1" t="n">
        <x:v>1</x:v>
      </x:c>
      <x:c r="K17" s="5" t="n">
        <x:f>SUM(Rutas_Base!T19,Rutas_Base!W19)</x:f>
        <x:v>204.6</x:v>
      </x:c>
      <x:c r="L17" s="5" t="n">
        <x:f>2*MAX(Parametros_Operacion!$B$9)</x:f>
        <x:v>204.6</x:v>
      </x:c>
      <x:c r="M17" s="5" t="n">
        <x:f>SUM(Rutas_Base!U19)</x:f>
        <x:v>5.86</x:v>
      </x:c>
      <x:c r="N17" s="5" t="n">
        <x:f>SUM(Rutas_Base!V19)</x:f>
        <x:v>5.86</x:v>
      </x:c>
      <x:c r="O17" s="5" t="n">
        <x:f>SUM(Rutas_Base!H19)</x:f>
        <x:v>210.46</x:v>
      </x:c>
      <x:c r="P17" s="5" t="n">
        <x:f>ROUND(L17+N17,2)</x:f>
        <x:v>210.46</x:v>
      </x:c>
      <x:c r="Q17" s="5" t="n">
        <x:f>ROUND(O17-P17,2)</x:f>
        <x:v>0</x:v>
      </x:c>
      <x:c r="R17" s="5" t="n">
        <x:f>SUM(Rutas_Base!L19)</x:f>
        <x:v>764.18</x:v>
      </x:c>
      <x:c r="S17" s="5" t="n">
        <x:f>ROUND(P17/Vehiculos!$E$3*Vehiculos!$F$3,2)</x:f>
        <x:v>764.18</x:v>
      </x:c>
      <x:c r="T17" s="5" t="n">
        <x:f>ROUND(R17-S17,2)</x:f>
        <x:v>0</x:v>
      </x:c>
      <x:c r="U17" s="5" t="n">
        <x:f>SUM(Rutas_Base!O19)</x:f>
        <x:v>271</x:v>
      </x:c>
      <x:c r="V17" s="5" t="n">
        <x:f>ROUND(P17/Vehiculos!$G$3*60+H17*8,0)</x:f>
        <x:v>271</x:v>
      </x:c>
      <x:c r="W17" s="5" t="n">
        <x:f>U17-V17</x:f>
        <x:v>0</x:v>
      </x:c>
      <x:c r="X17" s="1" t="n">
        <x:f>Vehiculos!$D$3</x:f>
        <x:v>12</x:v>
      </x:c>
      <x:c r="Y17" s="1" t="str">
        <x:f>IF(H17&lt;=X17,"Sí","No")</x:f>
        <x:v>Sí</x:v>
      </x:c>
      <x:c r="Z17" s="1" t="str">
        <x:f>IF(V17&lt;=Parametros_Operacion!$H$13,"Sí","No")</x:f>
        <x:v>Sí</x:v>
      </x:c>
      <x:c r="AA17" s="1" t="str">
        <x:f>IF(Q17&gt;0,"Ahorro por ruta compartida","Sin ahorro: recorrido equivalente")</x:f>
        <x:v>Sin ahorro: recorrido equivalente</x:v>
      </x:c>
    </x:row>
    <x:row r="18">
      <x:c r="A18" s="1" t="str">
        <x:v>PL-20260507-Z1</x:v>
      </x:c>
      <x:c r="B18" s="1" t="str">
        <x:v>2026-05-07</x:v>
      </x:c>
      <x:c r="C18" s="1" t="str">
        <x:v>Z1</x:v>
      </x:c>
      <x:c r="D18" s="1" t="str">
        <x:v>La Ceiba</x:v>
      </x:c>
      <x:c r="E18" s="1" t="str">
        <x:v>R001</x:v>
      </x:c>
      <x:c r="F18" s="1" t="str">
        <x:v>Carlos Mejía</x:v>
      </x:c>
      <x:c r="G18" s="1" t="str">
        <x:v>V001</x:v>
      </x:c>
      <x:c r="H18" s="1" t="n">
        <x:v>4</x:v>
      </x:c>
      <x:c r="I18" s="1" t="str">
        <x:v>RT-20260507-R001</x:v>
      </x:c>
      <x:c r="J18" s="1" t="n">
        <x:v>1</x:v>
      </x:c>
      <x:c r="K18" s="5" t="n">
        <x:f>SUM(Rutas_Base!T22,Rutas_Base!W22)</x:f>
        <x:v>0</x:v>
      </x:c>
      <x:c r="L18" s="5" t="n">
        <x:f>2*MAX(Parametros_Operacion!$B$6)</x:f>
        <x:v>0</x:v>
      </x:c>
      <x:c r="M18" s="5" t="n">
        <x:f>SUM(Rutas_Base!U22)</x:f>
        <x:v>19.91</x:v>
      </x:c>
      <x:c r="N18" s="5" t="n">
        <x:f>SUM(Rutas_Base!V22)</x:f>
        <x:v>18.58</x:v>
      </x:c>
      <x:c r="O18" s="5" t="n">
        <x:f>SUM(Rutas_Base!H22)</x:f>
        <x:v>19.91</x:v>
      </x:c>
      <x:c r="P18" s="5" t="n">
        <x:f>ROUND(L18+N18,2)</x:f>
        <x:v>18.58</x:v>
      </x:c>
      <x:c r="Q18" s="5" t="n">
        <x:f>ROUND(O18-P18,2)</x:f>
        <x:v>1.33</x:v>
      </x:c>
      <x:c r="R18" s="5" t="n">
        <x:f>SUM(Rutas_Base!L22)</x:f>
        <x:v>69.01</x:v>
      </x:c>
      <x:c r="S18" s="5" t="n">
        <x:f>ROUND(P18/Vehiculos!$E$2*Vehiculos!$F$2,2)</x:f>
        <x:v>64.4</x:v>
      </x:c>
      <x:c r="T18" s="5" t="n">
        <x:f>ROUND(R18-S18,2)</x:f>
        <x:v>4.61</x:v>
      </x:c>
      <x:c r="U18" s="5" t="n">
        <x:f>SUM(Rutas_Base!O22)</x:f>
        <x:v>56</x:v>
      </x:c>
      <x:c r="V18" s="5" t="n">
        <x:f>ROUND(P18/Vehiculos!$G$2*60+H18*8,0)</x:f>
        <x:v>54</x:v>
      </x:c>
      <x:c r="W18" s="5" t="n">
        <x:f>U18-V18</x:f>
        <x:v>2</x:v>
      </x:c>
      <x:c r="X18" s="1" t="n">
        <x:f>Vehiculos!$D$2</x:f>
        <x:v>12</x:v>
      </x:c>
      <x:c r="Y18" s="1" t="str">
        <x:f>IF(H18&lt;=X18,"Sí","No")</x:f>
        <x:v>Sí</x:v>
      </x:c>
      <x:c r="Z18" s="1" t="str">
        <x:f>IF(V18&lt;=Parametros_Operacion!$H$13,"Sí","No")</x:f>
        <x:v>Sí</x:v>
      </x:c>
      <x:c r="AA18" s="1" t="str">
        <x:f>IF(Q18&gt;0,"Ahorro por ruta compartida","Sin ahorro: recorrido equivalente")</x:f>
        <x:v>Ahorro por ruta compartida</x:v>
      </x:c>
    </x:row>
    <x:row r="19">
      <x:c r="A19" s="1" t="str">
        <x:v>PL-20260507-Z3</x:v>
      </x:c>
      <x:c r="B19" s="1" t="str">
        <x:v>2026-05-07</x:v>
      </x:c>
      <x:c r="C19" s="1" t="str">
        <x:v>Z3</x:v>
      </x:c>
      <x:c r="D19" s="1" t="str">
        <x:v>La Masica + Esparta</x:v>
      </x:c>
      <x:c r="E19" s="1" t="str">
        <x:v>R007</x:v>
      </x:c>
      <x:c r="F19" s="1" t="str">
        <x:v>María Hernández</x:v>
      </x:c>
      <x:c r="G19" s="1" t="str">
        <x:v>V007</x:v>
      </x:c>
      <x:c r="H19" s="1" t="n">
        <x:v>3</x:v>
      </x:c>
      <x:c r="I19" s="1" t="str">
        <x:v>RT-20260507-R004 + RT-20260507-R007</x:v>
      </x:c>
      <x:c r="J19" s="1" t="n">
        <x:v>2</x:v>
      </x:c>
      <x:c r="K19" s="5" t="n">
        <x:f>SUM(Rutas_Base!T23,Rutas_Base!W23,Rutas_Base!T25,Rutas_Base!W25)</x:f>
        <x:v>233.4</x:v>
      </x:c>
      <x:c r="L19" s="5" t="n">
        <x:f>2*MAX(Parametros_Operacion!$B$7,Parametros_Operacion!$B$4)</x:f>
        <x:v>151</x:v>
      </x:c>
      <x:c r="M19" s="5" t="n">
        <x:f>SUM(Rutas_Base!U23,Rutas_Base!U25)</x:f>
        <x:v>12.350000000000001</x:v>
      </x:c>
      <x:c r="N19" s="5" t="n">
        <x:f>SUM(Rutas_Base!V23,Rutas_Base!V25)</x:f>
        <x:v>12.350000000000001</x:v>
      </x:c>
      <x:c r="O19" s="5" t="n">
        <x:f>SUM(Rutas_Base!H23,Rutas_Base!H25)</x:f>
        <x:v>245.75</x:v>
      </x:c>
      <x:c r="P19" s="5" t="n">
        <x:f>ROUND(L19+N19,2)</x:f>
        <x:v>163.35</x:v>
      </x:c>
      <x:c r="Q19" s="5" t="n">
        <x:f>ROUND(O19-P19,2)</x:f>
        <x:v>82.4</x:v>
      </x:c>
      <x:c r="R19" s="5" t="n">
        <x:f>SUM(Rutas_Base!L23,Rutas_Base!L25)</x:f>
        <x:v>920.24</x:v>
      </x:c>
      <x:c r="S19" s="5" t="n">
        <x:f>ROUND(P19/Vehiculos!$E$8*Vehiculos!$F$8,2)</x:f>
        <x:v>622.78</x:v>
      </x:c>
      <x:c r="T19" s="5" t="n">
        <x:f>ROUND(R19-S19,2)</x:f>
        <x:v>297.46</x:v>
      </x:c>
      <x:c r="U19" s="5" t="n">
        <x:f>SUM(Rutas_Base!O23,Rutas_Base!O25)</x:f>
        <x:v>338</x:v>
      </x:c>
      <x:c r="V19" s="5" t="n">
        <x:f>ROUND(P19/Vehiculos!$G$8*60+H19*8,0)</x:f>
        <x:v>237</x:v>
      </x:c>
      <x:c r="W19" s="5" t="n">
        <x:f>U19-V19</x:f>
        <x:v>101</x:v>
      </x:c>
      <x:c r="X19" s="1" t="n">
        <x:f>Vehiculos!$D$8</x:f>
        <x:v>12</x:v>
      </x:c>
      <x:c r="Y19" s="1" t="str">
        <x:f>IF(H19&lt;=X19,"Sí","No")</x:f>
        <x:v>Sí</x:v>
      </x:c>
      <x:c r="Z19" s="1" t="str">
        <x:f>IF(V19&lt;=Parametros_Operacion!$H$13,"Sí","No")</x:f>
        <x:v>Sí</x:v>
      </x:c>
      <x:c r="AA19" s="1" t="str">
        <x:f>IF(Q19&gt;0,"Ahorro por ruta compartida","Sin ahorro: recorrido equivalente")</x:f>
        <x:v>Ahorro por ruta compartida</x:v>
      </x:c>
    </x:row>
    <x:row r="20">
      <x:c r="A20" s="1" t="str">
        <x:v>PL-20260507-Z4</x:v>
      </x:c>
      <x:c r="B20" s="1" t="str">
        <x:v>2026-05-07</x:v>
      </x:c>
      <x:c r="C20" s="1" t="str">
        <x:v>Z4</x:v>
      </x:c>
      <x:c r="D20" s="1" t="str">
        <x:v>Arizona</x:v>
      </x:c>
      <x:c r="E20" s="1" t="str">
        <x:v>R002</x:v>
      </x:c>
      <x:c r="F20" s="1" t="str">
        <x:v>Ana López</x:v>
      </x:c>
      <x:c r="G20" s="1" t="str">
        <x:v>V002</x:v>
      </x:c>
      <x:c r="H20" s="1" t="n">
        <x:v>1</x:v>
      </x:c>
      <x:c r="I20" s="1" t="str">
        <x:v>RT-20260507-R006</x:v>
      </x:c>
      <x:c r="J20" s="1" t="n">
        <x:v>1</x:v>
      </x:c>
      <x:c r="K20" s="5" t="n">
        <x:f>SUM(Rutas_Base!T24,Rutas_Base!W24)</x:f>
        <x:v>145</x:v>
      </x:c>
      <x:c r="L20" s="5" t="n">
        <x:f>2*MAX(Parametros_Operacion!$B$2)</x:f>
        <x:v>145</x:v>
      </x:c>
      <x:c r="M20" s="5" t="n">
        <x:f>SUM(Rutas_Base!U24)</x:f>
        <x:v>6.3</x:v>
      </x:c>
      <x:c r="N20" s="5" t="n">
        <x:f>SUM(Rutas_Base!V24)</x:f>
        <x:v>6.3</x:v>
      </x:c>
      <x:c r="O20" s="5" t="n">
        <x:f>SUM(Rutas_Base!H24)</x:f>
        <x:v>151.3</x:v>
      </x:c>
      <x:c r="P20" s="5" t="n">
        <x:f>ROUND(L20+N20,2)</x:f>
        <x:v>151.3</x:v>
      </x:c>
      <x:c r="Q20" s="5" t="n">
        <x:f>ROUND(O20-P20,2)</x:f>
        <x:v>0</x:v>
      </x:c>
      <x:c r="R20" s="5" t="n">
        <x:f>SUM(Rutas_Base!L24)</x:f>
        <x:v>576.84</x:v>
      </x:c>
      <x:c r="S20" s="5" t="n">
        <x:f>ROUND(P20/Vehiculos!$E$3*Vehiculos!$F$3,2)</x:f>
        <x:v>549.37</x:v>
      </x:c>
      <x:c r="T20" s="5" t="n">
        <x:f>ROUND(R20-S20,2)</x:f>
        <x:v>27.47</x:v>
      </x:c>
      <x:c r="U20" s="5" t="n">
        <x:f>SUM(Rutas_Base!O24)</x:f>
        <x:v>201</x:v>
      </x:c>
      <x:c r="V20" s="5" t="n">
        <x:f>ROUND(P20/Vehiculos!$G$3*60+H20*8,0)</x:f>
        <x:v>197</x:v>
      </x:c>
      <x:c r="W20" s="5" t="n">
        <x:f>U20-V20</x:f>
        <x:v>4</x:v>
      </x:c>
      <x:c r="X20" s="1" t="n">
        <x:f>Vehiculos!$D$3</x:f>
        <x:v>12</x:v>
      </x:c>
      <x:c r="Y20" s="1" t="str">
        <x:f>IF(H20&lt;=X20,"Sí","No")</x:f>
        <x:v>Sí</x:v>
      </x:c>
      <x:c r="Z20" s="1" t="str">
        <x:f>IF(V20&lt;=Parametros_Operacion!$H$13,"Sí","No")</x:f>
        <x:v>Sí</x:v>
      </x:c>
      <x:c r="AA20" s="1" t="str">
        <x:f>IF(Q20&gt;0,"Ahorro por ruta compartida","Sin ahorro: recorrido equivalente")</x:f>
        <x:v>Sin ahorro: recorrido equivalente</x:v>
      </x:c>
    </x:row>
    <x:row r="21">
      <x:c r="A21" s="1" t="str">
        <x:v>PL-20260508-Z1</x:v>
      </x:c>
      <x:c r="B21" s="1" t="str">
        <x:v>2026-05-08</x:v>
      </x:c>
      <x:c r="C21" s="1" t="str">
        <x:v>Z1</x:v>
      </x:c>
      <x:c r="D21" s="1" t="str">
        <x:v>La Ceiba</x:v>
      </x:c>
      <x:c r="E21" s="1" t="str">
        <x:v>R001</x:v>
      </x:c>
      <x:c r="F21" s="1" t="str">
        <x:v>Carlos Mejía</x:v>
      </x:c>
      <x:c r="G21" s="1" t="str">
        <x:v>V001</x:v>
      </x:c>
      <x:c r="H21" s="1" t="n">
        <x:v>1</x:v>
      </x:c>
      <x:c r="I21" s="1" t="str">
        <x:v>RT-20260508-R001</x:v>
      </x:c>
      <x:c r="J21" s="1" t="n">
        <x:v>1</x:v>
      </x:c>
      <x:c r="K21" s="5" t="n">
        <x:f>SUM(Rutas_Base!T26,Rutas_Base!W26)</x:f>
        <x:v>0</x:v>
      </x:c>
      <x:c r="L21" s="5" t="n">
        <x:f>2*MAX(Parametros_Operacion!$B$6)</x:f>
        <x:v>0</x:v>
      </x:c>
      <x:c r="M21" s="5" t="n">
        <x:f>SUM(Rutas_Base!U26)</x:f>
        <x:v>9.32</x:v>
      </x:c>
      <x:c r="N21" s="5" t="n">
        <x:f>SUM(Rutas_Base!V26)</x:f>
        <x:v>9.32</x:v>
      </x:c>
      <x:c r="O21" s="5" t="n">
        <x:f>SUM(Rutas_Base!H26)</x:f>
        <x:v>9.32</x:v>
      </x:c>
      <x:c r="P21" s="5" t="n">
        <x:f>ROUND(L21+N21,2)</x:f>
        <x:v>9.32</x:v>
      </x:c>
      <x:c r="Q21" s="5" t="n">
        <x:f>ROUND(O21-P21,2)</x:f>
        <x:v>0</x:v>
      </x:c>
      <x:c r="R21" s="5" t="n">
        <x:f>SUM(Rutas_Base!L26)</x:f>
        <x:v>32.3</x:v>
      </x:c>
      <x:c r="S21" s="5" t="n">
        <x:f>ROUND(P21/Vehiculos!$E$2*Vehiculos!$F$2,2)</x:f>
        <x:v>32.3</x:v>
      </x:c>
      <x:c r="T21" s="5" t="n">
        <x:f>ROUND(R21-S21,2)</x:f>
        <x:v>0</x:v>
      </x:c>
      <x:c r="U21" s="5" t="n">
        <x:f>SUM(Rutas_Base!O26)</x:f>
        <x:v>19</x:v>
      </x:c>
      <x:c r="V21" s="5" t="n">
        <x:f>ROUND(P21/Vehiculos!$G$2*60+H21*8,0)</x:f>
        <x:v>19</x:v>
      </x:c>
      <x:c r="W21" s="5" t="n">
        <x:f>U21-V21</x:f>
        <x:v>0</x:v>
      </x:c>
      <x:c r="X21" s="1" t="n">
        <x:f>Vehiculos!$D$2</x:f>
        <x:v>12</x:v>
      </x:c>
      <x:c r="Y21" s="1" t="str">
        <x:f>IF(H21&lt;=X21,"Sí","No")</x:f>
        <x:v>Sí</x:v>
      </x:c>
      <x:c r="Z21" s="1" t="str">
        <x:f>IF(V21&lt;=Parametros_Operacion!$H$13,"Sí","No")</x:f>
        <x:v>Sí</x:v>
      </x:c>
      <x:c r="AA21" s="1" t="str">
        <x:f>IF(Q21&gt;0,"Ahorro por ruta compartida","Sin ahorro: recorrido equivalente")</x:f>
        <x:v>Sin ahorro: recorrido equivalente</x:v>
      </x:c>
    </x:row>
    <x:row r="22">
      <x:c r="A22" s="1" t="str">
        <x:v>PL-20260508-Z2</x:v>
      </x:c>
      <x:c r="B22" s="1" t="str">
        <x:v>2026-05-08</x:v>
      </x:c>
      <x:c r="C22" s="1" t="str">
        <x:v>Z2</x:v>
      </x:c>
      <x:c r="D22" s="1" t="str">
        <x:v>El Porvenir</x:v>
      </x:c>
      <x:c r="E22" s="1" t="str">
        <x:v>R004</x:v>
      </x:c>
      <x:c r="F22" s="1" t="str">
        <x:v>Daniela Cruz</x:v>
      </x:c>
      <x:c r="G22" s="1" t="str">
        <x:v>V004</x:v>
      </x:c>
      <x:c r="H22" s="1" t="n">
        <x:v>1</x:v>
      </x:c>
      <x:c r="I22" s="1" t="str">
        <x:v>RT-20260508-R008</x:v>
      </x:c>
      <x:c r="J22" s="1" t="n">
        <x:v>1</x:v>
      </x:c>
      <x:c r="K22" s="5" t="n">
        <x:f>SUM(Rutas_Base!T30,Rutas_Base!W30)</x:f>
        <x:v>33</x:v>
      </x:c>
      <x:c r="L22" s="5" t="n">
        <x:f>2*MAX(Parametros_Operacion!$B$3)</x:f>
        <x:v>33</x:v>
      </x:c>
      <x:c r="M22" s="5" t="n">
        <x:f>SUM(Rutas_Base!U30)</x:f>
        <x:v>5.32</x:v>
      </x:c>
      <x:c r="N22" s="5" t="n">
        <x:f>SUM(Rutas_Base!V30)</x:f>
        <x:v>5.32</x:v>
      </x:c>
      <x:c r="O22" s="5" t="n">
        <x:f>SUM(Rutas_Base!H30)</x:f>
        <x:v>38.32</x:v>
      </x:c>
      <x:c r="P22" s="5" t="n">
        <x:f>ROUND(L22+N22,2)</x:f>
        <x:v>38.32</x:v>
      </x:c>
      <x:c r="Q22" s="5" t="n">
        <x:f>ROUND(O22-P22,2)</x:f>
        <x:v>0</x:v>
      </x:c>
      <x:c r="R22" s="5" t="n">
        <x:f>SUM(Rutas_Base!L30)</x:f>
        <x:v>194.79</x:v>
      </x:c>
      <x:c r="S22" s="5" t="n">
        <x:f>ROUND(P22/Vehiculos!$E$5*Vehiculos!$F$5,2)</x:f>
        <x:v>139.14</x:v>
      </x:c>
      <x:c r="T22" s="5" t="n">
        <x:f>ROUND(R22-S22,2)</x:f>
        <x:v>55.65</x:v>
      </x:c>
      <x:c r="U22" s="5" t="n">
        <x:f>SUM(Rutas_Base!O30)</x:f>
        <x:v>63</x:v>
      </x:c>
      <x:c r="V22" s="5" t="n">
        <x:f>ROUND(P22/Vehiculos!$G$5*60+H22*8,0)</x:f>
        <x:v>55</x:v>
      </x:c>
      <x:c r="W22" s="5" t="n">
        <x:f>U22-V22</x:f>
        <x:v>8</x:v>
      </x:c>
      <x:c r="X22" s="1" t="n">
        <x:f>Vehiculos!$D$5</x:f>
        <x:v>12</x:v>
      </x:c>
      <x:c r="Y22" s="1" t="str">
        <x:f>IF(H22&lt;=X22,"Sí","No")</x:f>
        <x:v>Sí</x:v>
      </x:c>
      <x:c r="Z22" s="1" t="str">
        <x:f>IF(V22&lt;=Parametros_Operacion!$H$13,"Sí","No")</x:f>
        <x:v>Sí</x:v>
      </x:c>
      <x:c r="AA22" s="1" t="str">
        <x:f>IF(Q22&gt;0,"Ahorro por ruta compartida","Sin ahorro: recorrido equivalente")</x:f>
        <x:v>Sin ahorro: recorrido equivalente</x:v>
      </x:c>
    </x:row>
    <x:row r="23">
      <x:c r="A23" s="1" t="str">
        <x:v>PL-20260508-Z3</x:v>
      </x:c>
      <x:c r="B23" s="1" t="str">
        <x:v>2026-05-08</x:v>
      </x:c>
      <x:c r="C23" s="1" t="str">
        <x:v>Z3</x:v>
      </x:c>
      <x:c r="D23" s="1" t="str">
        <x:v>La Masica + Esparta</x:v>
      </x:c>
      <x:c r="E23" s="1" t="str">
        <x:v>R007</x:v>
      </x:c>
      <x:c r="F23" s="1" t="str">
        <x:v>María Hernández</x:v>
      </x:c>
      <x:c r="G23" s="1" t="str">
        <x:v>V007</x:v>
      </x:c>
      <x:c r="H23" s="1" t="n">
        <x:v>6</x:v>
      </x:c>
      <x:c r="I23" s="1" t="str">
        <x:v>RT-20260508-R004 + RT-20260508-R007</x:v>
      </x:c>
      <x:c r="J23" s="1" t="n">
        <x:v>2</x:v>
      </x:c>
      <x:c r="K23" s="5" t="n">
        <x:f>SUM(Rutas_Base!T28,Rutas_Base!W28,Rutas_Base!T29,Rutas_Base!W29)</x:f>
        <x:v>233.4</x:v>
      </x:c>
      <x:c r="L23" s="5" t="n">
        <x:f>2*MAX(Parametros_Operacion!$B$7,Parametros_Operacion!$B$4)</x:f>
        <x:v>151</x:v>
      </x:c>
      <x:c r="M23" s="5" t="n">
        <x:f>SUM(Rutas_Base!U28,Rutas_Base!U29)</x:f>
        <x:v>22.25</x:v>
      </x:c>
      <x:c r="N23" s="5" t="n">
        <x:f>SUM(Rutas_Base!V28,Rutas_Base!V29)</x:f>
        <x:v>22.25</x:v>
      </x:c>
      <x:c r="O23" s="5" t="n">
        <x:f>SUM(Rutas_Base!H28,Rutas_Base!H29)</x:f>
        <x:v>255.64999999999998</x:v>
      </x:c>
      <x:c r="P23" s="5" t="n">
        <x:f>ROUND(L23+N23,2)</x:f>
        <x:v>173.25</x:v>
      </x:c>
      <x:c r="Q23" s="5" t="n">
        <x:f>ROUND(O23-P23,2)</x:f>
        <x:v>82.4</x:v>
      </x:c>
      <x:c r="R23" s="5" t="n">
        <x:f>SUM(Rutas_Base!L28,Rutas_Base!L29)</x:f>
        <x:v>956.8600000000001</x:v>
      </x:c>
      <x:c r="S23" s="5" t="n">
        <x:f>ROUND(P23/Vehiculos!$E$8*Vehiculos!$F$8,2)</x:f>
        <x:v>660.52</x:v>
      </x:c>
      <x:c r="T23" s="5" t="n">
        <x:f>ROUND(R23-S23,2)</x:f>
        <x:v>296.34</x:v>
      </x:c>
      <x:c r="U23" s="5" t="n">
        <x:f>SUM(Rutas_Base!O28,Rutas_Base!O29)</x:f>
        <x:v>373</x:v>
      </x:c>
      <x:c r="V23" s="5" t="n">
        <x:f>ROUND(P23/Vehiculos!$G$8*60+H23*8,0)</x:f>
        <x:v>274</x:v>
      </x:c>
      <x:c r="W23" s="5" t="n">
        <x:f>U23-V23</x:f>
        <x:v>99</x:v>
      </x:c>
      <x:c r="X23" s="1" t="n">
        <x:f>Vehiculos!$D$8</x:f>
        <x:v>12</x:v>
      </x:c>
      <x:c r="Y23" s="1" t="str">
        <x:f>IF(H23&lt;=X23,"Sí","No")</x:f>
        <x:v>Sí</x:v>
      </x:c>
      <x:c r="Z23" s="1" t="str">
        <x:f>IF(V23&lt;=Parametros_Operacion!$H$13,"Sí","No")</x:f>
        <x:v>Sí</x:v>
      </x:c>
      <x:c r="AA23" s="1" t="str">
        <x:f>IF(Q23&gt;0,"Ahorro por ruta compartida","Sin ahorro: recorrido equivalente")</x:f>
        <x:v>Ahorro por ruta compartida</x:v>
      </x:c>
    </x:row>
    <x:row r="24">
      <x:c r="A24" s="1" t="str">
        <x:v>PL-20260508-Z4</x:v>
      </x:c>
      <x:c r="B24" s="1" t="str">
        <x:v>2026-05-08</x:v>
      </x:c>
      <x:c r="C24" s="1" t="str">
        <x:v>Z4</x:v>
      </x:c>
      <x:c r="D24" s="1" t="str">
        <x:v>Tela</x:v>
      </x:c>
      <x:c r="E24" s="1" t="str">
        <x:v>R002</x:v>
      </x:c>
      <x:c r="F24" s="1" t="str">
        <x:v>Ana López</x:v>
      </x:c>
      <x:c r="G24" s="1" t="str">
        <x:v>V002</x:v>
      </x:c>
      <x:c r="H24" s="1" t="n">
        <x:v>1</x:v>
      </x:c>
      <x:c r="I24" s="1" t="str">
        <x:v>RT-20260508-R002</x:v>
      </x:c>
      <x:c r="J24" s="1" t="n">
        <x:v>1</x:v>
      </x:c>
      <x:c r="K24" s="5" t="n">
        <x:f>SUM(Rutas_Base!T27,Rutas_Base!W27)</x:f>
        <x:v>204.6</x:v>
      </x:c>
      <x:c r="L24" s="5" t="n">
        <x:f>2*MAX(Parametros_Operacion!$B$9)</x:f>
        <x:v>204.6</x:v>
      </x:c>
      <x:c r="M24" s="5" t="n">
        <x:f>SUM(Rutas_Base!U27)</x:f>
        <x:v>4.02</x:v>
      </x:c>
      <x:c r="N24" s="5" t="n">
        <x:f>SUM(Rutas_Base!V27)</x:f>
        <x:v>4.02</x:v>
      </x:c>
      <x:c r="O24" s="5" t="n">
        <x:f>SUM(Rutas_Base!H27)</x:f>
        <x:v>208.62</x:v>
      </x:c>
      <x:c r="P24" s="5" t="n">
        <x:f>ROUND(L24+N24,2)</x:f>
        <x:v>208.62</x:v>
      </x:c>
      <x:c r="Q24" s="5" t="n">
        <x:f>ROUND(O24-P24,2)</x:f>
        <x:v>0</x:v>
      </x:c>
      <x:c r="R24" s="5" t="n">
        <x:f>SUM(Rutas_Base!L27)</x:f>
        <x:v>757.5</x:v>
      </x:c>
      <x:c r="S24" s="5" t="n">
        <x:f>ROUND(P24/Vehiculos!$E$3*Vehiculos!$F$3,2)</x:f>
        <x:v>757.5</x:v>
      </x:c>
      <x:c r="T24" s="5" t="n">
        <x:f>ROUND(R24-S24,2)</x:f>
        <x:v>0</x:v>
      </x:c>
      <x:c r="U24" s="5" t="n">
        <x:f>SUM(Rutas_Base!O27)</x:f>
        <x:v>269</x:v>
      </x:c>
      <x:c r="V24" s="5" t="n">
        <x:f>ROUND(P24/Vehiculos!$G$3*60+H24*8,0)</x:f>
        <x:v>269</x:v>
      </x:c>
      <x:c r="W24" s="5" t="n">
        <x:f>U24-V24</x:f>
        <x:v>0</x:v>
      </x:c>
      <x:c r="X24" s="1" t="n">
        <x:f>Vehiculos!$D$3</x:f>
        <x:v>12</x:v>
      </x:c>
      <x:c r="Y24" s="1" t="str">
        <x:f>IF(H24&lt;=X24,"Sí","No")</x:f>
        <x:v>Sí</x:v>
      </x:c>
      <x:c r="Z24" s="1" t="str">
        <x:f>IF(V24&lt;=Parametros_Operacion!$H$13,"Sí","No")</x:f>
        <x:v>Sí</x:v>
      </x:c>
      <x:c r="AA24" s="1" t="str">
        <x:f>IF(Q24&gt;0,"Ahorro por ruta compartida","Sin ahorro: recorrido equivalente")</x:f>
        <x:v>Sin ahorro: recorrido equivalente</x:v>
      </x:c>
    </x:row>
    <x:row r="25">
      <x:c r="A25" s="1" t="str">
        <x:v>PL-20260509-Z1</x:v>
      </x:c>
      <x:c r="B25" s="1" t="str">
        <x:v>2026-05-09</x:v>
      </x:c>
      <x:c r="C25" s="1" t="str">
        <x:v>Z1</x:v>
      </x:c>
      <x:c r="D25" s="1" t="str">
        <x:v>La Ceiba + Jutiapa</x:v>
      </x:c>
      <x:c r="E25" s="1" t="str">
        <x:v>R001</x:v>
      </x:c>
      <x:c r="F25" s="1" t="str">
        <x:v>Carlos Mejía</x:v>
      </x:c>
      <x:c r="G25" s="1" t="str">
        <x:v>V001</x:v>
      </x:c>
      <x:c r="H25" s="1" t="n">
        <x:v>4</x:v>
      </x:c>
      <x:c r="I25" s="1" t="str">
        <x:v>RT-20260509-R001 + RT-20260509-R003</x:v>
      </x:c>
      <x:c r="J25" s="1" t="n">
        <x:v>2</x:v>
      </x:c>
      <x:c r="K25" s="5" t="n">
        <x:f>SUM(Rutas_Base!T31,Rutas_Base!W31,Rutas_Base!T33,Rutas_Base!W33)</x:f>
        <x:v>62.8</x:v>
      </x:c>
      <x:c r="L25" s="5" t="n">
        <x:f>2*MAX(Parametros_Operacion!$B$6,Parametros_Operacion!$B$5)</x:f>
        <x:v>62.8</x:v>
      </x:c>
      <x:c r="M25" s="5" t="n">
        <x:f>SUM(Rutas_Base!U31,Rutas_Base!U33)</x:f>
        <x:v>24.9</x:v>
      </x:c>
      <x:c r="N25" s="5" t="n">
        <x:f>SUM(Rutas_Base!V31,Rutas_Base!V33)</x:f>
        <x:v>24.9</x:v>
      </x:c>
      <x:c r="O25" s="5" t="n">
        <x:f>SUM(Rutas_Base!H31,Rutas_Base!H33)</x:f>
        <x:v>87.7</x:v>
      </x:c>
      <x:c r="P25" s="5" t="n">
        <x:f>ROUND(L25+N25,2)</x:f>
        <x:v>87.7</x:v>
      </x:c>
      <x:c r="Q25" s="5" t="n">
        <x:f>ROUND(O25-P25,2)</x:f>
        <x:v>0</x:v>
      </x:c>
      <x:c r="R25" s="5" t="n">
        <x:f>SUM(Rutas_Base!L31,Rutas_Base!L33)</x:f>
        <x:v>330.32</x:v>
      </x:c>
      <x:c r="S25" s="5" t="n">
        <x:f>ROUND(P25/Vehiculos!$E$2*Vehiculos!$F$2,2)</x:f>
        <x:v>303.96</x:v>
      </x:c>
      <x:c r="T25" s="5" t="n">
        <x:f>ROUND(R25-S25,2)</x:f>
        <x:v>26.36</x:v>
      </x:c>
      <x:c r="U25" s="5" t="n">
        <x:f>SUM(Rutas_Base!O31,Rutas_Base!O33)</x:f>
        <x:v>143</x:v>
      </x:c>
      <x:c r="V25" s="5" t="n">
        <x:f>ROUND(P25/Vehiculos!$G$2*60+H25*8,0)</x:f>
        <x:v>137</x:v>
      </x:c>
      <x:c r="W25" s="5" t="n">
        <x:f>U25-V25</x:f>
        <x:v>6</x:v>
      </x:c>
      <x:c r="X25" s="1" t="n">
        <x:f>Vehiculos!$D$2</x:f>
        <x:v>12</x:v>
      </x:c>
      <x:c r="Y25" s="1" t="str">
        <x:f>IF(H25&lt;=X25,"Sí","No")</x:f>
        <x:v>Sí</x:v>
      </x:c>
      <x:c r="Z25" s="1" t="str">
        <x:f>IF(V25&lt;=Parametros_Operacion!$H$13,"Sí","No")</x:f>
        <x:v>Sí</x:v>
      </x:c>
      <x:c r="AA25" s="1" t="str">
        <x:f>IF(Q25&gt;0,"Ahorro por ruta compartida","Sin ahorro: recorrido equivalente")</x:f>
        <x:v>Sin ahorro: recorrido equivalente</x:v>
      </x:c>
    </x:row>
    <x:row r="26">
      <x:c r="A26" s="1" t="str">
        <x:v>PL-20260509-Z2</x:v>
      </x:c>
      <x:c r="B26" s="1" t="str">
        <x:v>2026-05-09</x:v>
      </x:c>
      <x:c r="C26" s="1" t="str">
        <x:v>Z2</x:v>
      </x:c>
      <x:c r="D26" s="1" t="str">
        <x:v>San Francisco</x:v>
      </x:c>
      <x:c r="E26" s="1" t="str">
        <x:v>R004</x:v>
      </x:c>
      <x:c r="F26" s="1" t="str">
        <x:v>Daniela Cruz</x:v>
      </x:c>
      <x:c r="G26" s="1" t="str">
        <x:v>V004</x:v>
      </x:c>
      <x:c r="H26" s="1" t="n">
        <x:v>1</x:v>
      </x:c>
      <x:c r="I26" s="1" t="str">
        <x:v>RT-20260509-R005</x:v>
      </x:c>
      <x:c r="J26" s="1" t="n">
        <x:v>1</x:v>
      </x:c>
      <x:c r="K26" s="5" t="n">
        <x:f>SUM(Rutas_Base!T34,Rutas_Base!W34)</x:f>
        <x:v>70</x:v>
      </x:c>
      <x:c r="L26" s="5" t="n">
        <x:f>2*MAX(Parametros_Operacion!$B$8)</x:f>
        <x:v>70</x:v>
      </x:c>
      <x:c r="M26" s="5" t="n">
        <x:f>SUM(Rutas_Base!U34)</x:f>
        <x:v>3.78</x:v>
      </x:c>
      <x:c r="N26" s="5" t="n">
        <x:f>SUM(Rutas_Base!V34)</x:f>
        <x:v>3.78</x:v>
      </x:c>
      <x:c r="O26" s="5" t="n">
        <x:f>SUM(Rutas_Base!H34)</x:f>
        <x:v>73.78</x:v>
      </x:c>
      <x:c r="P26" s="5" t="n">
        <x:f>ROUND(L26+N26,2)</x:f>
        <x:v>73.78</x:v>
      </x:c>
      <x:c r="Q26" s="5" t="n">
        <x:f>ROUND(O26-P26,2)</x:f>
        <x:v>0</x:v>
      </x:c>
      <x:c r="R26" s="5" t="n">
        <x:f>SUM(Rutas_Base!L34)</x:f>
        <x:v>351.61</x:v>
      </x:c>
      <x:c r="S26" s="5" t="n">
        <x:f>ROUND(P26/Vehiculos!$E$5*Vehiculos!$F$5,2)</x:f>
        <x:v>267.89</x:v>
      </x:c>
      <x:c r="T26" s="5" t="n">
        <x:f>ROUND(R26-S26,2)</x:f>
        <x:v>83.72</x:v>
      </x:c>
      <x:c r="U26" s="5" t="n">
        <x:f>SUM(Rutas_Base!O34)</x:f>
        <x:v>111</x:v>
      </x:c>
      <x:c r="V26" s="5" t="n">
        <x:f>ROUND(P26/Vehiculos!$G$5*60+H26*8,0)</x:f>
        <x:v>98</x:v>
      </x:c>
      <x:c r="W26" s="5" t="n">
        <x:f>U26-V26</x:f>
        <x:v>13</x:v>
      </x:c>
      <x:c r="X26" s="1" t="n">
        <x:f>Vehiculos!$D$5</x:f>
        <x:v>12</x:v>
      </x:c>
      <x:c r="Y26" s="1" t="str">
        <x:f>IF(H26&lt;=X26,"Sí","No")</x:f>
        <x:v>Sí</x:v>
      </x:c>
      <x:c r="Z26" s="1" t="str">
        <x:f>IF(V26&lt;=Parametros_Operacion!$H$13,"Sí","No")</x:f>
        <x:v>Sí</x:v>
      </x:c>
      <x:c r="AA26" s="1" t="str">
        <x:f>IF(Q26&gt;0,"Ahorro por ruta compartida","Sin ahorro: recorrido equivalente")</x:f>
        <x:v>Sin ahorro: recorrido equivalente</x:v>
      </x:c>
    </x:row>
    <x:row r="27">
      <x:c r="A27" s="1" t="str">
        <x:v>PL-20260509-Z4</x:v>
      </x:c>
      <x:c r="B27" s="1" t="str">
        <x:v>2026-05-09</x:v>
      </x:c>
      <x:c r="C27" s="1" t="str">
        <x:v>Z4</x:v>
      </x:c>
      <x:c r="D27" s="1" t="str">
        <x:v>Tela</x:v>
      </x:c>
      <x:c r="E27" s="1" t="str">
        <x:v>R002</x:v>
      </x:c>
      <x:c r="F27" s="1" t="str">
        <x:v>Ana López</x:v>
      </x:c>
      <x:c r="G27" s="1" t="str">
        <x:v>V002</x:v>
      </x:c>
      <x:c r="H27" s="1" t="n">
        <x:v>1</x:v>
      </x:c>
      <x:c r="I27" s="1" t="str">
        <x:v>RT-20260509-R002</x:v>
      </x:c>
      <x:c r="J27" s="1" t="n">
        <x:v>1</x:v>
      </x:c>
      <x:c r="K27" s="5" t="n">
        <x:f>SUM(Rutas_Base!T32,Rutas_Base!W32)</x:f>
        <x:v>204.6</x:v>
      </x:c>
      <x:c r="L27" s="5" t="n">
        <x:f>2*MAX(Parametros_Operacion!$B$9)</x:f>
        <x:v>204.6</x:v>
      </x:c>
      <x:c r="M27" s="5" t="n">
        <x:f>SUM(Rutas_Base!U32)</x:f>
        <x:v>4.02</x:v>
      </x:c>
      <x:c r="N27" s="5" t="n">
        <x:f>SUM(Rutas_Base!V32)</x:f>
        <x:v>4.02</x:v>
      </x:c>
      <x:c r="O27" s="5" t="n">
        <x:f>SUM(Rutas_Base!H32)</x:f>
        <x:v>208.62</x:v>
      </x:c>
      <x:c r="P27" s="5" t="n">
        <x:f>ROUND(L27+N27,2)</x:f>
        <x:v>208.62</x:v>
      </x:c>
      <x:c r="Q27" s="5" t="n">
        <x:f>ROUND(O27-P27,2)</x:f>
        <x:v>0</x:v>
      </x:c>
      <x:c r="R27" s="5" t="n">
        <x:f>SUM(Rutas_Base!L32)</x:f>
        <x:v>757.5</x:v>
      </x:c>
      <x:c r="S27" s="5" t="n">
        <x:f>ROUND(P27/Vehiculos!$E$3*Vehiculos!$F$3,2)</x:f>
        <x:v>757.5</x:v>
      </x:c>
      <x:c r="T27" s="5" t="n">
        <x:f>ROUND(R27-S27,2)</x:f>
        <x:v>0</x:v>
      </x:c>
      <x:c r="U27" s="5" t="n">
        <x:f>SUM(Rutas_Base!O32)</x:f>
        <x:v>269</x:v>
      </x:c>
      <x:c r="V27" s="5" t="n">
        <x:f>ROUND(P27/Vehiculos!$G$3*60+H27*8,0)</x:f>
        <x:v>269</x:v>
      </x:c>
      <x:c r="W27" s="5" t="n">
        <x:f>U27-V27</x:f>
        <x:v>0</x:v>
      </x:c>
      <x:c r="X27" s="1" t="n">
        <x:f>Vehiculos!$D$3</x:f>
        <x:v>12</x:v>
      </x:c>
      <x:c r="Y27" s="1" t="str">
        <x:f>IF(H27&lt;=X27,"Sí","No")</x:f>
        <x:v>Sí</x:v>
      </x:c>
      <x:c r="Z27" s="1" t="str">
        <x:f>IF(V27&lt;=Parametros_Operacion!$H$13,"Sí","No")</x:f>
        <x:v>Sí</x:v>
      </x:c>
      <x:c r="AA27" s="1" t="str">
        <x:f>IF(Q27&gt;0,"Ahorro por ruta compartida","Sin ahorro: recorrido equivalente")</x:f>
        <x:v>Sin ahorro: recorrido equivalente</x:v>
      </x:c>
    </x:row>
    <x:row r="28">
      <x:c r="A28" s="1" t="str">
        <x:v>PL-20260510-Z1</x:v>
      </x:c>
      <x:c r="B28" s="1" t="str">
        <x:v>2026-05-10</x:v>
      </x:c>
      <x:c r="C28" s="1" t="str">
        <x:v>Z1</x:v>
      </x:c>
      <x:c r="D28" s="1" t="str">
        <x:v>Jutiapa</x:v>
      </x:c>
      <x:c r="E28" s="1" t="str">
        <x:v>R001</x:v>
      </x:c>
      <x:c r="F28" s="1" t="str">
        <x:v>Carlos Mejía</x:v>
      </x:c>
      <x:c r="G28" s="1" t="str">
        <x:v>V001</x:v>
      </x:c>
      <x:c r="H28" s="1" t="n">
        <x:v>2</x:v>
      </x:c>
      <x:c r="I28" s="1" t="str">
        <x:v>RT-20260510-R003</x:v>
      </x:c>
      <x:c r="J28" s="1" t="n">
        <x:v>1</x:v>
      </x:c>
      <x:c r="K28" s="5" t="n">
        <x:f>SUM(Rutas_Base!T36,Rutas_Base!W36)</x:f>
        <x:v>62.8</x:v>
      </x:c>
      <x:c r="L28" s="5" t="n">
        <x:f>2*MAX(Parametros_Operacion!$B$5)</x:f>
        <x:v>62.8</x:v>
      </x:c>
      <x:c r="M28" s="5" t="n">
        <x:f>SUM(Rutas_Base!U36)</x:f>
        <x:v>5.38</x:v>
      </x:c>
      <x:c r="N28" s="5" t="n">
        <x:f>SUM(Rutas_Base!V36)</x:f>
        <x:v>5.38</x:v>
      </x:c>
      <x:c r="O28" s="5" t="n">
        <x:f>SUM(Rutas_Base!H36)</x:f>
        <x:v>68.18</x:v>
      </x:c>
      <x:c r="P28" s="5" t="n">
        <x:f>ROUND(L28+N28,2)</x:f>
        <x:v>68.18</x:v>
      </x:c>
      <x:c r="Q28" s="5" t="n">
        <x:f>ROUND(O28-P28,2)</x:f>
        <x:v>0</x:v>
      </x:c>
      <x:c r="R28" s="5" t="n">
        <x:f>SUM(Rutas_Base!L36)</x:f>
        <x:v>259.94</x:v>
      </x:c>
      <x:c r="S28" s="5" t="n">
        <x:f>ROUND(P28/Vehiculos!$E$2*Vehiculos!$F$2,2)</x:f>
        <x:v>236.31</x:v>
      </x:c>
      <x:c r="T28" s="5" t="n">
        <x:f>ROUND(R28-S28,2)</x:f>
        <x:v>23.63</x:v>
      </x:c>
      <x:c r="U28" s="5" t="n">
        <x:f>SUM(Rutas_Base!O36)</x:f>
        <x:v>103</x:v>
      </x:c>
      <x:c r="V28" s="5" t="n">
        <x:f>ROUND(P28/Vehiculos!$G$2*60+H28*8,0)</x:f>
        <x:v>98</x:v>
      </x:c>
      <x:c r="W28" s="5" t="n">
        <x:f>U28-V28</x:f>
        <x:v>5</x:v>
      </x:c>
      <x:c r="X28" s="1" t="n">
        <x:f>Vehiculos!$D$2</x:f>
        <x:v>12</x:v>
      </x:c>
      <x:c r="Y28" s="1" t="str">
        <x:f>IF(H28&lt;=X28,"Sí","No")</x:f>
        <x:v>Sí</x:v>
      </x:c>
      <x:c r="Z28" s="1" t="str">
        <x:f>IF(V28&lt;=Parametros_Operacion!$H$13,"Sí","No")</x:f>
        <x:v>Sí</x:v>
      </x:c>
      <x:c r="AA28" s="1" t="str">
        <x:f>IF(Q28&gt;0,"Ahorro por ruta compartida","Sin ahorro: recorrido equivalente")</x:f>
        <x:v>Sin ahorro: recorrido equivalente</x:v>
      </x:c>
    </x:row>
    <x:row r="29">
      <x:c r="A29" s="1" t="str">
        <x:v>PL-20260510-Z2</x:v>
      </x:c>
      <x:c r="B29" s="1" t="str">
        <x:v>2026-05-10</x:v>
      </x:c>
      <x:c r="C29" s="1" t="str">
        <x:v>Z2</x:v>
      </x:c>
      <x:c r="D29" s="1" t="str">
        <x:v>El Porvenir + San Francisco</x:v>
      </x:c>
      <x:c r="E29" s="1" t="str">
        <x:v>R004</x:v>
      </x:c>
      <x:c r="F29" s="1" t="str">
        <x:v>Daniela Cruz</x:v>
      </x:c>
      <x:c r="G29" s="1" t="str">
        <x:v>V004</x:v>
      </x:c>
      <x:c r="H29" s="1" t="n">
        <x:v>2</x:v>
      </x:c>
      <x:c r="I29" s="1" t="str">
        <x:v>RT-20260510-R008 + RT-20260510-R005</x:v>
      </x:c>
      <x:c r="J29" s="1" t="n">
        <x:v>2</x:v>
      </x:c>
      <x:c r="K29" s="5" t="n">
        <x:f>SUM(Rutas_Base!T41,Rutas_Base!W41,Rutas_Base!T38,Rutas_Base!W38)</x:f>
        <x:v>103</x:v>
      </x:c>
      <x:c r="L29" s="5" t="n">
        <x:f>2*MAX(Parametros_Operacion!$B$3,Parametros_Operacion!$B$8)</x:f>
        <x:v>70</x:v>
      </x:c>
      <x:c r="M29" s="5" t="n">
        <x:f>SUM(Rutas_Base!U41,Rutas_Base!U38)</x:f>
        <x:v>9.1</x:v>
      </x:c>
      <x:c r="N29" s="5" t="n">
        <x:f>SUM(Rutas_Base!V41,Rutas_Base!V38)</x:f>
        <x:v>9.1</x:v>
      </x:c>
      <x:c r="O29" s="5" t="n">
        <x:f>SUM(Rutas_Base!H41,Rutas_Base!H38)</x:f>
        <x:v>112.1</x:v>
      </x:c>
      <x:c r="P29" s="5" t="n">
        <x:f>ROUND(L29+N29,2)</x:f>
        <x:v>79.1</x:v>
      </x:c>
      <x:c r="Q29" s="5" t="n">
        <x:f>ROUND(O29-P29,2)</x:f>
        <x:v>33</x:v>
      </x:c>
      <x:c r="R29" s="5" t="n">
        <x:f>SUM(Rutas_Base!L41,Rutas_Base!L38)</x:f>
        <x:v>546.4</x:v>
      </x:c>
      <x:c r="S29" s="5" t="n">
        <x:f>ROUND(P29/Vehiculos!$E$5*Vehiculos!$F$5,2)</x:f>
        <x:v>287.21</x:v>
      </x:c>
      <x:c r="T29" s="5" t="n">
        <x:f>ROUND(R29-S29,2)</x:f>
        <x:v>259.19</x:v>
      </x:c>
      <x:c r="U29" s="5" t="n">
        <x:f>SUM(Rutas_Base!O41,Rutas_Base!O38)</x:f>
        <x:v>174</x:v>
      </x:c>
      <x:c r="V29" s="5" t="n">
        <x:f>ROUND(P29/Vehiculos!$G$5*60+H29*8,0)</x:f>
        <x:v>113</x:v>
      </x:c>
      <x:c r="W29" s="5" t="n">
        <x:f>U29-V29</x:f>
        <x:v>61</x:v>
      </x:c>
      <x:c r="X29" s="1" t="n">
        <x:f>Vehiculos!$D$5</x:f>
        <x:v>12</x:v>
      </x:c>
      <x:c r="Y29" s="1" t="str">
        <x:f>IF(H29&lt;=X29,"Sí","No")</x:f>
        <x:v>Sí</x:v>
      </x:c>
      <x:c r="Z29" s="1" t="str">
        <x:f>IF(V29&lt;=Parametros_Operacion!$H$13,"Sí","No")</x:f>
        <x:v>Sí</x:v>
      </x:c>
      <x:c r="AA29" s="1" t="str">
        <x:f>IF(Q29&gt;0,"Ahorro por ruta compartida","Sin ahorro: recorrido equivalente")</x:f>
        <x:v>Ahorro por ruta compartida</x:v>
      </x:c>
    </x:row>
    <x:row r="30">
      <x:c r="A30" s="1" t="str">
        <x:v>PL-20260510-Z3</x:v>
      </x:c>
      <x:c r="B30" s="1" t="str">
        <x:v>2026-05-10</x:v>
      </x:c>
      <x:c r="C30" s="1" t="str">
        <x:v>Z3</x:v>
      </x:c>
      <x:c r="D30" s="1" t="str">
        <x:v>La Masica + Esparta</x:v>
      </x:c>
      <x:c r="E30" s="1" t="str">
        <x:v>R007</x:v>
      </x:c>
      <x:c r="F30" s="1" t="str">
        <x:v>María Hernández</x:v>
      </x:c>
      <x:c r="G30" s="1" t="str">
        <x:v>V007</x:v>
      </x:c>
      <x:c r="H30" s="1" t="n">
        <x:v>2</x:v>
      </x:c>
      <x:c r="I30" s="1" t="str">
        <x:v>RT-20260510-R004 + RT-20260510-R007</x:v>
      </x:c>
      <x:c r="J30" s="1" t="n">
        <x:v>2</x:v>
      </x:c>
      <x:c r="K30" s="5" t="n">
        <x:f>SUM(Rutas_Base!T37,Rutas_Base!W37,Rutas_Base!T40,Rutas_Base!W40)</x:f>
        <x:v>233.4</x:v>
      </x:c>
      <x:c r="L30" s="5" t="n">
        <x:f>2*MAX(Parametros_Operacion!$B$7,Parametros_Operacion!$B$4)</x:f>
        <x:v>151</x:v>
      </x:c>
      <x:c r="M30" s="5" t="n">
        <x:f>SUM(Rutas_Base!U37,Rutas_Base!U40)</x:f>
        <x:v>9.42</x:v>
      </x:c>
      <x:c r="N30" s="5" t="n">
        <x:f>SUM(Rutas_Base!V37,Rutas_Base!V40)</x:f>
        <x:v>9.42</x:v>
      </x:c>
      <x:c r="O30" s="5" t="n">
        <x:f>SUM(Rutas_Base!H37,Rutas_Base!H40)</x:f>
        <x:v>242.82</x:v>
      </x:c>
      <x:c r="P30" s="5" t="n">
        <x:f>ROUND(L30+N30,2)</x:f>
        <x:v>160.42</x:v>
      </x:c>
      <x:c r="Q30" s="5" t="n">
        <x:f>ROUND(O30-P30,2)</x:f>
        <x:v>82.4</x:v>
      </x:c>
      <x:c r="R30" s="5" t="n">
        <x:f>SUM(Rutas_Base!L37,Rutas_Base!L40)</x:f>
        <x:v>909.89</x:v>
      </x:c>
      <x:c r="S30" s="5" t="n">
        <x:f>ROUND(P30/Vehiculos!$E$8*Vehiculos!$F$8,2)</x:f>
        <x:v>611.61</x:v>
      </x:c>
      <x:c r="T30" s="5" t="n">
        <x:f>ROUND(R30-S30,2)</x:f>
        <x:v>298.28</x:v>
      </x:c>
      <x:c r="U30" s="5" t="n">
        <x:f>SUM(Rutas_Base!O37,Rutas_Base!O40)</x:f>
        <x:v>326</x:v>
      </x:c>
      <x:c r="V30" s="5" t="n">
        <x:f>ROUND(P30/Vehiculos!$G$8*60+H30*8,0)</x:f>
        <x:v>225</x:v>
      </x:c>
      <x:c r="W30" s="5" t="n">
        <x:f>U30-V30</x:f>
        <x:v>101</x:v>
      </x:c>
      <x:c r="X30" s="1" t="n">
        <x:f>Vehiculos!$D$8</x:f>
        <x:v>12</x:v>
      </x:c>
      <x:c r="Y30" s="1" t="str">
        <x:f>IF(H30&lt;=X30,"Sí","No")</x:f>
        <x:v>Sí</x:v>
      </x:c>
      <x:c r="Z30" s="1" t="str">
        <x:f>IF(V30&lt;=Parametros_Operacion!$H$13,"Sí","No")</x:f>
        <x:v>Sí</x:v>
      </x:c>
      <x:c r="AA30" s="1" t="str">
        <x:f>IF(Q30&gt;0,"Ahorro por ruta compartida","Sin ahorro: recorrido equivalente")</x:f>
        <x:v>Ahorro por ruta compartida</x:v>
      </x:c>
    </x:row>
    <x:row r="31">
      <x:c r="A31" s="1" t="str">
        <x:v>PL-20260510-Z4</x:v>
      </x:c>
      <x:c r="B31" s="1" t="str">
        <x:v>2026-05-10</x:v>
      </x:c>
      <x:c r="C31" s="1" t="str">
        <x:v>Z4</x:v>
      </x:c>
      <x:c r="D31" s="1" t="str">
        <x:v>Arizona + Tela</x:v>
      </x:c>
      <x:c r="E31" s="1" t="str">
        <x:v>R002</x:v>
      </x:c>
      <x:c r="F31" s="1" t="str">
        <x:v>Ana López</x:v>
      </x:c>
      <x:c r="G31" s="1" t="str">
        <x:v>V002</x:v>
      </x:c>
      <x:c r="H31" s="1" t="n">
        <x:v>3</x:v>
      </x:c>
      <x:c r="I31" s="1" t="str">
        <x:v>RT-20260510-R006 + RT-20260510-R002</x:v>
      </x:c>
      <x:c r="J31" s="1" t="n">
        <x:v>2</x:v>
      </x:c>
      <x:c r="K31" s="5" t="n">
        <x:f>SUM(Rutas_Base!T39,Rutas_Base!W39,Rutas_Base!T35,Rutas_Base!W35)</x:f>
        <x:v>349.6</x:v>
      </x:c>
      <x:c r="L31" s="5" t="n">
        <x:f>2*MAX(Parametros_Operacion!$B$2,Parametros_Operacion!$B$9)</x:f>
        <x:v>204.6</x:v>
      </x:c>
      <x:c r="M31" s="5" t="n">
        <x:f>SUM(Rutas_Base!U39,Rutas_Base!U35)</x:f>
        <x:v>21.87</x:v>
      </x:c>
      <x:c r="N31" s="5" t="n">
        <x:f>SUM(Rutas_Base!V39,Rutas_Base!V35)</x:f>
        <x:v>21.87</x:v>
      </x:c>
      <x:c r="O31" s="5" t="n">
        <x:f>SUM(Rutas_Base!H39,Rutas_Base!H35)</x:f>
        <x:v>371.47</x:v>
      </x:c>
      <x:c r="P31" s="5" t="n">
        <x:f>ROUND(L31+N31,2)</x:f>
        <x:v>226.47</x:v>
      </x:c>
      <x:c r="Q31" s="5" t="n">
        <x:f>ROUND(O31-P31,2)</x:f>
        <x:v>145</x:v>
      </x:c>
      <x:c r="R31" s="5" t="n">
        <x:f>SUM(Rutas_Base!L39,Rutas_Base!L35)</x:f>
        <x:v>1378.37</x:v>
      </x:c>
      <x:c r="S31" s="5" t="n">
        <x:f>ROUND(P31/Vehiculos!$E$3*Vehiculos!$F$3,2)</x:f>
        <x:v>822.31</x:v>
      </x:c>
      <x:c r="T31" s="5" t="n">
        <x:f>ROUND(R31-S31,2)</x:f>
        <x:v>556.06</x:v>
      </x:c>
      <x:c r="U31" s="5" t="n">
        <x:f>SUM(Rutas_Base!O39,Rutas_Base!O35)</x:f>
        <x:v>493</x:v>
      </x:c>
      <x:c r="V31" s="5" t="n">
        <x:f>ROUND(P31/Vehiculos!$G$3*60+H31*8,0)</x:f>
        <x:v>307</x:v>
      </x:c>
      <x:c r="W31" s="5" t="n">
        <x:f>U31-V31</x:f>
        <x:v>186</x:v>
      </x:c>
      <x:c r="X31" s="1" t="n">
        <x:f>Vehiculos!$D$3</x:f>
        <x:v>12</x:v>
      </x:c>
      <x:c r="Y31" s="1" t="str">
        <x:f>IF(H31&lt;=X31,"Sí","No")</x:f>
        <x:v>Sí</x:v>
      </x:c>
      <x:c r="Z31" s="1" t="str">
        <x:f>IF(V31&lt;=Parametros_Operacion!$H$13,"Sí","No")</x:f>
        <x:v>Sí</x:v>
      </x:c>
      <x:c r="AA31" s="1" t="str">
        <x:f>IF(Q31&gt;0,"Ahorro por ruta compartida","Sin ahorro: recorrido equivalente")</x:f>
        <x:v>Ahorro por ruta compartida</x:v>
      </x:c>
    </x:row>
    <x:row r="32">
      <x:c r="A32" s="1" t="str">
        <x:v>PL-20260511-Z1</x:v>
      </x:c>
      <x:c r="B32" s="1" t="str">
        <x:v>2026-05-11</x:v>
      </x:c>
      <x:c r="C32" s="1" t="str">
        <x:v>Z1</x:v>
      </x:c>
      <x:c r="D32" s="1" t="str">
        <x:v>La Ceiba</x:v>
      </x:c>
      <x:c r="E32" s="1" t="str">
        <x:v>R001</x:v>
      </x:c>
      <x:c r="F32" s="1" t="str">
        <x:v>Carlos Mejía</x:v>
      </x:c>
      <x:c r="G32" s="1" t="str">
        <x:v>V001</x:v>
      </x:c>
      <x:c r="H32" s="1" t="n">
        <x:v>1</x:v>
      </x:c>
      <x:c r="I32" s="1" t="str">
        <x:v>RT-20260511-R001</x:v>
      </x:c>
      <x:c r="J32" s="1" t="n">
        <x:v>1</x:v>
      </x:c>
      <x:c r="K32" s="5" t="n">
        <x:f>SUM(Rutas_Base!T42,Rutas_Base!W42)</x:f>
        <x:v>0</x:v>
      </x:c>
      <x:c r="L32" s="5" t="n">
        <x:f>2*MAX(Parametros_Operacion!$B$6)</x:f>
        <x:v>0</x:v>
      </x:c>
      <x:c r="M32" s="5" t="n">
        <x:f>SUM(Rutas_Base!U42)</x:f>
        <x:v>5</x:v>
      </x:c>
      <x:c r="N32" s="5" t="n">
        <x:f>SUM(Rutas_Base!V42)</x:f>
        <x:v>5</x:v>
      </x:c>
      <x:c r="O32" s="5" t="n">
        <x:f>SUM(Rutas_Base!H42)</x:f>
        <x:v>5</x:v>
      </x:c>
      <x:c r="P32" s="5" t="n">
        <x:f>ROUND(L32+N32,2)</x:f>
        <x:v>5</x:v>
      </x:c>
      <x:c r="Q32" s="5" t="n">
        <x:f>ROUND(O32-P32,2)</x:f>
        <x:v>0</x:v>
      </x:c>
      <x:c r="R32" s="5" t="n">
        <x:f>SUM(Rutas_Base!L42)</x:f>
        <x:v>17.33</x:v>
      </x:c>
      <x:c r="S32" s="5" t="n">
        <x:f>ROUND(P32/Vehiculos!$E$2*Vehiculos!$F$2,2)</x:f>
        <x:v>17.33</x:v>
      </x:c>
      <x:c r="T32" s="5" t="n">
        <x:f>ROUND(R32-S32,2)</x:f>
        <x:v>0</x:v>
      </x:c>
      <x:c r="U32" s="5" t="n">
        <x:f>SUM(Rutas_Base!O42)</x:f>
        <x:v>14</x:v>
      </x:c>
      <x:c r="V32" s="5" t="n">
        <x:f>ROUND(P32/Vehiculos!$G$2*60+H32*8,0)</x:f>
        <x:v>14</x:v>
      </x:c>
      <x:c r="W32" s="5" t="n">
        <x:f>U32-V32</x:f>
        <x:v>0</x:v>
      </x:c>
      <x:c r="X32" s="1" t="n">
        <x:f>Vehiculos!$D$2</x:f>
        <x:v>12</x:v>
      </x:c>
      <x:c r="Y32" s="1" t="str">
        <x:f>IF(H32&lt;=X32,"Sí","No")</x:f>
        <x:v>Sí</x:v>
      </x:c>
      <x:c r="Z32" s="1" t="str">
        <x:f>IF(V32&lt;=Parametros_Operacion!$H$13,"Sí","No")</x:f>
        <x:v>Sí</x:v>
      </x:c>
      <x:c r="AA32" s="1" t="str">
        <x:f>IF(Q32&gt;0,"Ahorro por ruta compartida","Sin ahorro: recorrido equivalente")</x:f>
        <x:v>Sin ahorro: recorrido equivalente</x:v>
      </x:c>
    </x:row>
    <x:row r="33">
      <x:c r="A33" s="1" t="str">
        <x:v>PL-20260511-Z2</x:v>
      </x:c>
      <x:c r="B33" s="1" t="str">
        <x:v>2026-05-11</x:v>
      </x:c>
      <x:c r="C33" s="1" t="str">
        <x:v>Z2</x:v>
      </x:c>
      <x:c r="D33" s="1" t="str">
        <x:v>El Porvenir</x:v>
      </x:c>
      <x:c r="E33" s="1" t="str">
        <x:v>R004</x:v>
      </x:c>
      <x:c r="F33" s="1" t="str">
        <x:v>Daniela Cruz</x:v>
      </x:c>
      <x:c r="G33" s="1" t="str">
        <x:v>V004</x:v>
      </x:c>
      <x:c r="H33" s="1" t="n">
        <x:v>1</x:v>
      </x:c>
      <x:c r="I33" s="1" t="str">
        <x:v>RT-20260511-R008</x:v>
      </x:c>
      <x:c r="J33" s="1" t="n">
        <x:v>1</x:v>
      </x:c>
      <x:c r="K33" s="5" t="n">
        <x:f>SUM(Rutas_Base!T47,Rutas_Base!W47)</x:f>
        <x:v>33</x:v>
      </x:c>
      <x:c r="L33" s="5" t="n">
        <x:f>2*MAX(Parametros_Operacion!$B$3)</x:f>
        <x:v>33</x:v>
      </x:c>
      <x:c r="M33" s="5" t="n">
        <x:f>SUM(Rutas_Base!U47)</x:f>
        <x:v>3.02</x:v>
      </x:c>
      <x:c r="N33" s="5" t="n">
        <x:f>SUM(Rutas_Base!V47)</x:f>
        <x:v>3.02</x:v>
      </x:c>
      <x:c r="O33" s="5" t="n">
        <x:f>SUM(Rutas_Base!H47)</x:f>
        <x:v>36.02</x:v>
      </x:c>
      <x:c r="P33" s="5" t="n">
        <x:f>ROUND(L33+N33,2)</x:f>
        <x:v>36.02</x:v>
      </x:c>
      <x:c r="Q33" s="5" t="n">
        <x:f>ROUND(O33-P33,2)</x:f>
        <x:v>0</x:v>
      </x:c>
      <x:c r="R33" s="5" t="n">
        <x:f>SUM(Rutas_Base!L47)</x:f>
        <x:v>183.1</x:v>
      </x:c>
      <x:c r="S33" s="5" t="n">
        <x:f>ROUND(P33/Vehiculos!$E$5*Vehiculos!$F$5,2)</x:f>
        <x:v>130.79</x:v>
      </x:c>
      <x:c r="T33" s="5" t="n">
        <x:f>ROUND(R33-S33,2)</x:f>
        <x:v>52.31</x:v>
      </x:c>
      <x:c r="U33" s="5" t="n">
        <x:f>SUM(Rutas_Base!O47)</x:f>
        <x:v>59</x:v>
      </x:c>
      <x:c r="V33" s="5" t="n">
        <x:f>ROUND(P33/Vehiculos!$G$5*60+H33*8,0)</x:f>
        <x:v>52</x:v>
      </x:c>
      <x:c r="W33" s="5" t="n">
        <x:f>U33-V33</x:f>
        <x:v>7</x:v>
      </x:c>
      <x:c r="X33" s="1" t="n">
        <x:f>Vehiculos!$D$5</x:f>
        <x:v>12</x:v>
      </x:c>
      <x:c r="Y33" s="1" t="str">
        <x:f>IF(H33&lt;=X33,"Sí","No")</x:f>
        <x:v>Sí</x:v>
      </x:c>
      <x:c r="Z33" s="1" t="str">
        <x:f>IF(V33&lt;=Parametros_Operacion!$H$13,"Sí","No")</x:f>
        <x:v>Sí</x:v>
      </x:c>
      <x:c r="AA33" s="1" t="str">
        <x:f>IF(Q33&gt;0,"Ahorro por ruta compartida","Sin ahorro: recorrido equivalente")</x:f>
        <x:v>Sin ahorro: recorrido equivalente</x:v>
      </x:c>
    </x:row>
    <x:row r="34">
      <x:c r="A34" s="1" t="str">
        <x:v>PL-20260511-Z3</x:v>
      </x:c>
      <x:c r="B34" s="1" t="str">
        <x:v>2026-05-11</x:v>
      </x:c>
      <x:c r="C34" s="1" t="str">
        <x:v>Z3</x:v>
      </x:c>
      <x:c r="D34" s="1" t="str">
        <x:v>La Masica + Esparta</x:v>
      </x:c>
      <x:c r="E34" s="1" t="str">
        <x:v>R007</x:v>
      </x:c>
      <x:c r="F34" s="1" t="str">
        <x:v>María Hernández</x:v>
      </x:c>
      <x:c r="G34" s="1" t="str">
        <x:v>V007</x:v>
      </x:c>
      <x:c r="H34" s="1" t="n">
        <x:v>6</x:v>
      </x:c>
      <x:c r="I34" s="1" t="str">
        <x:v>RT-20260511-R004 + RT-20260511-R007</x:v>
      </x:c>
      <x:c r="J34" s="1" t="n">
        <x:v>2</x:v>
      </x:c>
      <x:c r="K34" s="5" t="n">
        <x:f>SUM(Rutas_Base!T44,Rutas_Base!W44,Rutas_Base!T46,Rutas_Base!W46)</x:f>
        <x:v>233.4</x:v>
      </x:c>
      <x:c r="L34" s="5" t="n">
        <x:f>2*MAX(Parametros_Operacion!$B$7,Parametros_Operacion!$B$4)</x:f>
        <x:v>151</x:v>
      </x:c>
      <x:c r="M34" s="5" t="n">
        <x:f>SUM(Rutas_Base!U44,Rutas_Base!U46)</x:f>
        <x:v>26.65</x:v>
      </x:c>
      <x:c r="N34" s="5" t="n">
        <x:f>SUM(Rutas_Base!V44,Rutas_Base!V46)</x:f>
        <x:v>24.16</x:v>
      </x:c>
      <x:c r="O34" s="5" t="n">
        <x:f>SUM(Rutas_Base!H44,Rutas_Base!H46)</x:f>
        <x:v>260.05</x:v>
      </x:c>
      <x:c r="P34" s="5" t="n">
        <x:f>ROUND(L34+N34,2)</x:f>
        <x:v>175.16</x:v>
      </x:c>
      <x:c r="Q34" s="5" t="n">
        <x:f>ROUND(O34-P34,2)</x:f>
        <x:v>84.89</x:v>
      </x:c>
      <x:c r="R34" s="5" t="n">
        <x:f>SUM(Rutas_Base!L44,Rutas_Base!L46)</x:f>
        <x:v>974.85</x:v>
      </x:c>
      <x:c r="S34" s="5" t="n">
        <x:f>ROUND(P34/Vehiculos!$E$8*Vehiculos!$F$8,2)</x:f>
        <x:v>667.8</x:v>
      </x:c>
      <x:c r="T34" s="5" t="n">
        <x:f>ROUND(R34-S34,2)</x:f>
        <x:v>307.05</x:v>
      </x:c>
      <x:c r="U34" s="5" t="n">
        <x:f>SUM(Rutas_Base!O44,Rutas_Base!O46)</x:f>
        <x:v>380</x:v>
      </x:c>
      <x:c r="V34" s="5" t="n">
        <x:f>ROUND(P34/Vehiculos!$G$8*60+H34*8,0)</x:f>
        <x:v>276</x:v>
      </x:c>
      <x:c r="W34" s="5" t="n">
        <x:f>U34-V34</x:f>
        <x:v>104</x:v>
      </x:c>
      <x:c r="X34" s="1" t="n">
        <x:f>Vehiculos!$D$8</x:f>
        <x:v>12</x:v>
      </x:c>
      <x:c r="Y34" s="1" t="str">
        <x:f>IF(H34&lt;=X34,"Sí","No")</x:f>
        <x:v>Sí</x:v>
      </x:c>
      <x:c r="Z34" s="1" t="str">
        <x:f>IF(V34&lt;=Parametros_Operacion!$H$13,"Sí","No")</x:f>
        <x:v>Sí</x:v>
      </x:c>
      <x:c r="AA34" s="1" t="str">
        <x:f>IF(Q34&gt;0,"Ahorro por ruta compartida","Sin ahorro: recorrido equivalente")</x:f>
        <x:v>Ahorro por ruta compartida</x:v>
      </x:c>
    </x:row>
    <x:row r="35">
      <x:c r="A35" s="1" t="str">
        <x:v>PL-20260511-Z4</x:v>
      </x:c>
      <x:c r="B35" s="1" t="str">
        <x:v>2026-05-11</x:v>
      </x:c>
      <x:c r="C35" s="1" t="str">
        <x:v>Z4</x:v>
      </x:c>
      <x:c r="D35" s="1" t="str">
        <x:v>Arizona + Tela</x:v>
      </x:c>
      <x:c r="E35" s="1" t="str">
        <x:v>R002</x:v>
      </x:c>
      <x:c r="F35" s="1" t="str">
        <x:v>Ana López</x:v>
      </x:c>
      <x:c r="G35" s="1" t="str">
        <x:v>V002</x:v>
      </x:c>
      <x:c r="H35" s="1" t="n">
        <x:v>3</x:v>
      </x:c>
      <x:c r="I35" s="1" t="str">
        <x:v>RT-20260511-R006 + RT-20260511-R002</x:v>
      </x:c>
      <x:c r="J35" s="1" t="n">
        <x:v>2</x:v>
      </x:c>
      <x:c r="K35" s="5" t="n">
        <x:f>SUM(Rutas_Base!T45,Rutas_Base!W45,Rutas_Base!T43,Rutas_Base!W43)</x:f>
        <x:v>349.6</x:v>
      </x:c>
      <x:c r="L35" s="5" t="n">
        <x:f>2*MAX(Parametros_Operacion!$B$2,Parametros_Operacion!$B$9)</x:f>
        <x:v>204.6</x:v>
      </x:c>
      <x:c r="M35" s="5" t="n">
        <x:f>SUM(Rutas_Base!U45,Rutas_Base!U43)</x:f>
        <x:v>19.380000000000003</x:v>
      </x:c>
      <x:c r="N35" s="5" t="n">
        <x:f>SUM(Rutas_Base!V45,Rutas_Base!V43)</x:f>
        <x:v>19.380000000000003</x:v>
      </x:c>
      <x:c r="O35" s="5" t="n">
        <x:f>SUM(Rutas_Base!H45,Rutas_Base!H43)</x:f>
        <x:v>368.98</x:v>
      </x:c>
      <x:c r="P35" s="5" t="n">
        <x:f>ROUND(L35+N35,2)</x:f>
        <x:v>223.98</x:v>
      </x:c>
      <x:c r="Q35" s="5" t="n">
        <x:f>ROUND(O35-P35,2)</x:f>
        <x:v>145</x:v>
      </x:c>
      <x:c r="R35" s="5" t="n">
        <x:f>SUM(Rutas_Base!L45,Rutas_Base!L43)</x:f>
        <x:v>1367.37</x:v>
      </x:c>
      <x:c r="S35" s="5" t="n">
        <x:f>ROUND(P35/Vehiculos!$E$3*Vehiculos!$F$3,2)</x:f>
        <x:v>813.27</x:v>
      </x:c>
      <x:c r="T35" s="5" t="n">
        <x:f>ROUND(R35-S35,2)</x:f>
        <x:v>554.1</x:v>
      </x:c>
      <x:c r="U35" s="5" t="n">
        <x:f>SUM(Rutas_Base!O45,Rutas_Base!O43)</x:f>
        <x:v>489</x:v>
      </x:c>
      <x:c r="V35" s="5" t="n">
        <x:f>ROUND(P35/Vehiculos!$G$3*60+H35*8,0)</x:f>
        <x:v>304</x:v>
      </x:c>
      <x:c r="W35" s="5" t="n">
        <x:f>U35-V35</x:f>
        <x:v>185</x:v>
      </x:c>
      <x:c r="X35" s="1" t="n">
        <x:f>Vehiculos!$D$3</x:f>
        <x:v>12</x:v>
      </x:c>
      <x:c r="Y35" s="1" t="str">
        <x:f>IF(H35&lt;=X35,"Sí","No")</x:f>
        <x:v>Sí</x:v>
      </x:c>
      <x:c r="Z35" s="1" t="str">
        <x:f>IF(V35&lt;=Parametros_Operacion!$H$13,"Sí","No")</x:f>
        <x:v>Sí</x:v>
      </x:c>
      <x:c r="AA35" s="1" t="str">
        <x:f>IF(Q35&gt;0,"Ahorro por ruta compartida","Sin ahorro: recorrido equivalente")</x:f>
        <x:v>Ahorro por ruta compartida</x:v>
      </x:c>
    </x:row>
    <x:row r="36">
      <x:c r="A36" s="1" t="str">
        <x:v>PL-20260512-Z3</x:v>
      </x:c>
      <x:c r="B36" s="1" t="str">
        <x:v>2026-05-12</x:v>
      </x:c>
      <x:c r="C36" s="1" t="str">
        <x:v>Z3</x:v>
      </x:c>
      <x:c r="D36" s="1" t="str">
        <x:v>La Masica + Esparta</x:v>
      </x:c>
      <x:c r="E36" s="1" t="str">
        <x:v>R007</x:v>
      </x:c>
      <x:c r="F36" s="1" t="str">
        <x:v>María Hernández</x:v>
      </x:c>
      <x:c r="G36" s="1" t="str">
        <x:v>V007</x:v>
      </x:c>
      <x:c r="H36" s="1" t="n">
        <x:v>3</x:v>
      </x:c>
      <x:c r="I36" s="1" t="str">
        <x:v>RT-20260512-R004 + RT-20260512-R007</x:v>
      </x:c>
      <x:c r="J36" s="1" t="n">
        <x:v>2</x:v>
      </x:c>
      <x:c r="K36" s="5" t="n">
        <x:f>SUM(Rutas_Base!T49,Rutas_Base!W49,Rutas_Base!T50,Rutas_Base!W50)</x:f>
        <x:v>233.4</x:v>
      </x:c>
      <x:c r="L36" s="5" t="n">
        <x:f>2*MAX(Parametros_Operacion!$B$7,Parametros_Operacion!$B$4)</x:f>
        <x:v>151</x:v>
      </x:c>
      <x:c r="M36" s="5" t="n">
        <x:f>SUM(Rutas_Base!U49,Rutas_Base!U50)</x:f>
        <x:v>17.380000000000003</x:v>
      </x:c>
      <x:c r="N36" s="5" t="n">
        <x:f>SUM(Rutas_Base!V49,Rutas_Base!V50)</x:f>
        <x:v>17.380000000000003</x:v>
      </x:c>
      <x:c r="O36" s="5" t="n">
        <x:f>SUM(Rutas_Base!H49,Rutas_Base!H50)</x:f>
        <x:v>250.77999999999997</x:v>
      </x:c>
      <x:c r="P36" s="5" t="n">
        <x:f>ROUND(L36+N36,2)</x:f>
        <x:v>168.38</x:v>
      </x:c>
      <x:c r="Q36" s="5" t="n">
        <x:f>ROUND(O36-P36,2)</x:f>
        <x:v>82.4</x:v>
      </x:c>
      <x:c r="R36" s="5" t="n">
        <x:f>SUM(Rutas_Base!L49,Rutas_Base!L50)</x:f>
        <x:v>938.79</x:v>
      </x:c>
      <x:c r="S36" s="5" t="n">
        <x:f>ROUND(P36/Vehiculos!$E$8*Vehiculos!$F$8,2)</x:f>
        <x:v>641.95</x:v>
      </x:c>
      <x:c r="T36" s="5" t="n">
        <x:f>ROUND(R36-S36,2)</x:f>
        <x:v>296.84</x:v>
      </x:c>
      <x:c r="U36" s="5" t="n">
        <x:f>SUM(Rutas_Base!O49,Rutas_Base!O50)</x:f>
        <x:v>344</x:v>
      </x:c>
      <x:c r="V36" s="5" t="n">
        <x:f>ROUND(P36/Vehiculos!$G$8*60+H36*8,0)</x:f>
        <x:v>244</x:v>
      </x:c>
      <x:c r="W36" s="5" t="n">
        <x:f>U36-V36</x:f>
        <x:v>100</x:v>
      </x:c>
      <x:c r="X36" s="1" t="n">
        <x:f>Vehiculos!$D$8</x:f>
        <x:v>12</x:v>
      </x:c>
      <x:c r="Y36" s="1" t="str">
        <x:f>IF(H36&lt;=X36,"Sí","No")</x:f>
        <x:v>Sí</x:v>
      </x:c>
      <x:c r="Z36" s="1" t="str">
        <x:f>IF(V36&lt;=Parametros_Operacion!$H$13,"Sí","No")</x:f>
        <x:v>Sí</x:v>
      </x:c>
      <x:c r="AA36" s="1" t="str">
        <x:f>IF(Q36&gt;0,"Ahorro por ruta compartida","Sin ahorro: recorrido equivalente")</x:f>
        <x:v>Ahorro por ruta compartida</x:v>
      </x:c>
    </x:row>
    <x:row r="37">
      <x:c r="A37" s="1" t="str">
        <x:v>PL-20260512-Z4</x:v>
      </x:c>
      <x:c r="B37" s="1" t="str">
        <x:v>2026-05-12</x:v>
      </x:c>
      <x:c r="C37" s="1" t="str">
        <x:v>Z4</x:v>
      </x:c>
      <x:c r="D37" s="1" t="str">
        <x:v>Tela</x:v>
      </x:c>
      <x:c r="E37" s="1" t="str">
        <x:v>R002</x:v>
      </x:c>
      <x:c r="F37" s="1" t="str">
        <x:v>Ana López</x:v>
      </x:c>
      <x:c r="G37" s="1" t="str">
        <x:v>V002</x:v>
      </x:c>
      <x:c r="H37" s="1" t="n">
        <x:v>2</x:v>
      </x:c>
      <x:c r="I37" s="1" t="str">
        <x:v>RT-20260512-R002</x:v>
      </x:c>
      <x:c r="J37" s="1" t="n">
        <x:v>1</x:v>
      </x:c>
      <x:c r="K37" s="5" t="n">
        <x:f>SUM(Rutas_Base!T48,Rutas_Base!W48)</x:f>
        <x:v>204.6</x:v>
      </x:c>
      <x:c r="L37" s="5" t="n">
        <x:f>2*MAX(Parametros_Operacion!$B$9)</x:f>
        <x:v>204.6</x:v>
      </x:c>
      <x:c r="M37" s="5" t="n">
        <x:f>SUM(Rutas_Base!U48)</x:f>
        <x:v>14.58</x:v>
      </x:c>
      <x:c r="N37" s="5" t="n">
        <x:f>SUM(Rutas_Base!V48)</x:f>
        <x:v>14.58</x:v>
      </x:c>
      <x:c r="O37" s="5" t="n">
        <x:f>SUM(Rutas_Base!H48)</x:f>
        <x:v>219.18</x:v>
      </x:c>
      <x:c r="P37" s="5" t="n">
        <x:f>ROUND(L37+N37,2)</x:f>
        <x:v>219.18</x:v>
      </x:c>
      <x:c r="Q37" s="5" t="n">
        <x:f>ROUND(O37-P37,2)</x:f>
        <x:v>0</x:v>
      </x:c>
      <x:c r="R37" s="5" t="n">
        <x:f>SUM(Rutas_Base!L48)</x:f>
        <x:v>795.8299999999999</x:v>
      </x:c>
      <x:c r="S37" s="5" t="n">
        <x:f>ROUND(P37/Vehiculos!$E$3*Vehiculos!$F$3,2)</x:f>
        <x:v>795.84</x:v>
      </x:c>
      <x:c r="T37" s="5" t="n">
        <x:f>ROUND(R37-S37,2)</x:f>
        <x:v>-0.01</x:v>
      </x:c>
      <x:c r="U37" s="5" t="n">
        <x:f>SUM(Rutas_Base!O48)</x:f>
        <x:v>290</x:v>
      </x:c>
      <x:c r="V37" s="5" t="n">
        <x:f>ROUND(P37/Vehiculos!$G$3*60+H37*8,0)</x:f>
        <x:v>290</x:v>
      </x:c>
      <x:c r="W37" s="5" t="n">
        <x:f>U37-V37</x:f>
        <x:v>0</x:v>
      </x:c>
      <x:c r="X37" s="1" t="n">
        <x:f>Vehiculos!$D$3</x:f>
        <x:v>12</x:v>
      </x:c>
      <x:c r="Y37" s="1" t="str">
        <x:f>IF(H37&lt;=X37,"Sí","No")</x:f>
        <x:v>Sí</x:v>
      </x:c>
      <x:c r="Z37" s="1" t="str">
        <x:f>IF(V37&lt;=Parametros_Operacion!$H$13,"Sí","No")</x:f>
        <x:v>Sí</x:v>
      </x:c>
      <x:c r="AA37" s="1" t="str">
        <x:f>IF(Q37&gt;0,"Ahorro por ruta compartida","Sin ahorro: recorrido equivalente")</x:f>
        <x:v>Sin ahorro: recorrido equivalente</x:v>
      </x:c>
    </x:row>
    <x:row r="38">
      <x:c r="A38" s="1" t="str">
        <x:v>PL-20260513-Z1</x:v>
      </x:c>
      <x:c r="B38" s="1" t="str">
        <x:v>2026-05-13</x:v>
      </x:c>
      <x:c r="C38" s="1" t="str">
        <x:v>Z1</x:v>
      </x:c>
      <x:c r="D38" s="1" t="str">
        <x:v>Jutiapa</x:v>
      </x:c>
      <x:c r="E38" s="1" t="str">
        <x:v>R001</x:v>
      </x:c>
      <x:c r="F38" s="1" t="str">
        <x:v>Carlos Mejía</x:v>
      </x:c>
      <x:c r="G38" s="1" t="str">
        <x:v>V001</x:v>
      </x:c>
      <x:c r="H38" s="1" t="n">
        <x:v>1</x:v>
      </x:c>
      <x:c r="I38" s="1" t="str">
        <x:v>RT-20260513-R003</x:v>
      </x:c>
      <x:c r="J38" s="1" t="n">
        <x:v>1</x:v>
      </x:c>
      <x:c r="K38" s="5" t="n">
        <x:f>SUM(Rutas_Base!T51,Rutas_Base!W51)</x:f>
        <x:v>62.8</x:v>
      </x:c>
      <x:c r="L38" s="5" t="n">
        <x:f>2*MAX(Parametros_Operacion!$B$5)</x:f>
        <x:v>62.8</x:v>
      </x:c>
      <x:c r="M38" s="5" t="n">
        <x:f>SUM(Rutas_Base!U51)</x:f>
        <x:v>3.14</x:v>
      </x:c>
      <x:c r="N38" s="5" t="n">
        <x:f>SUM(Rutas_Base!V51)</x:f>
        <x:v>3.14</x:v>
      </x:c>
      <x:c r="O38" s="5" t="n">
        <x:f>SUM(Rutas_Base!H51)</x:f>
        <x:v>65.94</x:v>
      </x:c>
      <x:c r="P38" s="5" t="n">
        <x:f>ROUND(L38+N38,2)</x:f>
        <x:v>65.94</x:v>
      </x:c>
      <x:c r="Q38" s="5" t="n">
        <x:f>ROUND(O38-P38,2)</x:f>
        <x:v>0</x:v>
      </x:c>
      <x:c r="R38" s="5" t="n">
        <x:f>SUM(Rutas_Base!L51)</x:f>
        <x:v>251.4</x:v>
      </x:c>
      <x:c r="S38" s="5" t="n">
        <x:f>ROUND(P38/Vehiculos!$E$2*Vehiculos!$F$2,2)</x:f>
        <x:v>228.54</x:v>
      </x:c>
      <x:c r="T38" s="5" t="n">
        <x:f>ROUND(R38-S38,2)</x:f>
        <x:v>22.86</x:v>
      </x:c>
      <x:c r="U38" s="5" t="n">
        <x:f>SUM(Rutas_Base!O51)</x:f>
        <x:v>92</x:v>
      </x:c>
      <x:c r="V38" s="5" t="n">
        <x:f>ROUND(P38/Vehiculos!$G$2*60+H38*8,0)</x:f>
        <x:v>87</x:v>
      </x:c>
      <x:c r="W38" s="5" t="n">
        <x:f>U38-V38</x:f>
        <x:v>5</x:v>
      </x:c>
      <x:c r="X38" s="1" t="n">
        <x:f>Vehiculos!$D$2</x:f>
        <x:v>12</x:v>
      </x:c>
      <x:c r="Y38" s="1" t="str">
        <x:f>IF(H38&lt;=X38,"Sí","No")</x:f>
        <x:v>Sí</x:v>
      </x:c>
      <x:c r="Z38" s="1" t="str">
        <x:f>IF(V38&lt;=Parametros_Operacion!$H$13,"Sí","No")</x:f>
        <x:v>Sí</x:v>
      </x:c>
      <x:c r="AA38" s="1" t="str">
        <x:f>IF(Q38&gt;0,"Ahorro por ruta compartida","Sin ahorro: recorrido equivalente")</x:f>
        <x:v>Sin ahorro: recorrido equivalente</x:v>
      </x:c>
    </x:row>
    <x:row r="39">
      <x:c r="A39" s="1" t="str">
        <x:v>PL-20260513-Z2</x:v>
      </x:c>
      <x:c r="B39" s="1" t="str">
        <x:v>2026-05-13</x:v>
      </x:c>
      <x:c r="C39" s="1" t="str">
        <x:v>Z2</x:v>
      </x:c>
      <x:c r="D39" s="1" t="str">
        <x:v>San Francisco</x:v>
      </x:c>
      <x:c r="E39" s="1" t="str">
        <x:v>R004</x:v>
      </x:c>
      <x:c r="F39" s="1" t="str">
        <x:v>Daniela Cruz</x:v>
      </x:c>
      <x:c r="G39" s="1" t="str">
        <x:v>V004</x:v>
      </x:c>
      <x:c r="H39" s="1" t="n">
        <x:v>1</x:v>
      </x:c>
      <x:c r="I39" s="1" t="str">
        <x:v>RT-20260513-R005</x:v>
      </x:c>
      <x:c r="J39" s="1" t="n">
        <x:v>1</x:v>
      </x:c>
      <x:c r="K39" s="5" t="n">
        <x:f>SUM(Rutas_Base!T53,Rutas_Base!W53)</x:f>
        <x:v>70</x:v>
      </x:c>
      <x:c r="L39" s="5" t="n">
        <x:f>2*MAX(Parametros_Operacion!$B$8)</x:f>
        <x:v>70</x:v>
      </x:c>
      <x:c r="M39" s="5" t="n">
        <x:f>SUM(Rutas_Base!U53)</x:f>
        <x:v>5.5</x:v>
      </x:c>
      <x:c r="N39" s="5" t="n">
        <x:f>SUM(Rutas_Base!V53)</x:f>
        <x:v>5.5</x:v>
      </x:c>
      <x:c r="O39" s="5" t="n">
        <x:f>SUM(Rutas_Base!H53)</x:f>
        <x:v>75.5</x:v>
      </x:c>
      <x:c r="P39" s="5" t="n">
        <x:f>ROUND(L39+N39,2)</x:f>
        <x:v>75.5</x:v>
      </x:c>
      <x:c r="Q39" s="5" t="n">
        <x:f>ROUND(O39-P39,2)</x:f>
        <x:v>0</x:v>
      </x:c>
      <x:c r="R39" s="5" t="n">
        <x:f>SUM(Rutas_Base!L53)</x:f>
        <x:v>359.81</x:v>
      </x:c>
      <x:c r="S39" s="5" t="n">
        <x:f>ROUND(P39/Vehiculos!$E$5*Vehiculos!$F$5,2)</x:f>
        <x:v>274.14</x:v>
      </x:c>
      <x:c r="T39" s="5" t="n">
        <x:f>ROUND(R39-S39,2)</x:f>
        <x:v>85.67</x:v>
      </x:c>
      <x:c r="U39" s="5" t="n">
        <x:f>SUM(Rutas_Base!O53)</x:f>
        <x:v>113</x:v>
      </x:c>
      <x:c r="V39" s="5" t="n">
        <x:f>ROUND(P39/Vehiculos!$G$5*60+H39*8,0)</x:f>
        <x:v>100</x:v>
      </x:c>
      <x:c r="W39" s="5" t="n">
        <x:f>U39-V39</x:f>
        <x:v>13</x:v>
      </x:c>
      <x:c r="X39" s="1" t="n">
        <x:f>Vehiculos!$D$5</x:f>
        <x:v>12</x:v>
      </x:c>
      <x:c r="Y39" s="1" t="str">
        <x:f>IF(H39&lt;=X39,"Sí","No")</x:f>
        <x:v>Sí</x:v>
      </x:c>
      <x:c r="Z39" s="1" t="str">
        <x:f>IF(V39&lt;=Parametros_Operacion!$H$13,"Sí","No")</x:f>
        <x:v>Sí</x:v>
      </x:c>
      <x:c r="AA39" s="1" t="str">
        <x:f>IF(Q39&gt;0,"Ahorro por ruta compartida","Sin ahorro: recorrido equivalente")</x:f>
        <x:v>Sin ahorro: recorrido equivalente</x:v>
      </x:c>
    </x:row>
    <x:row r="40">
      <x:c r="A40" s="1" t="str">
        <x:v>PL-20260513-Z3</x:v>
      </x:c>
      <x:c r="B40" s="1" t="str">
        <x:v>2026-05-13</x:v>
      </x:c>
      <x:c r="C40" s="1" t="str">
        <x:v>Z3</x:v>
      </x:c>
      <x:c r="D40" s="1" t="str">
        <x:v>La Masica + Esparta</x:v>
      </x:c>
      <x:c r="E40" s="1" t="str">
        <x:v>R007</x:v>
      </x:c>
      <x:c r="F40" s="1" t="str">
        <x:v>María Hernández</x:v>
      </x:c>
      <x:c r="G40" s="1" t="str">
        <x:v>V007</x:v>
      </x:c>
      <x:c r="H40" s="1" t="n">
        <x:v>4</x:v>
      </x:c>
      <x:c r="I40" s="1" t="str">
        <x:v>RT-20260513-R004 + RT-20260513-R007</x:v>
      </x:c>
      <x:c r="J40" s="1" t="n">
        <x:v>2</x:v>
      </x:c>
      <x:c r="K40" s="5" t="n">
        <x:f>SUM(Rutas_Base!T52,Rutas_Base!W52,Rutas_Base!T54,Rutas_Base!W54)</x:f>
        <x:v>233.4</x:v>
      </x:c>
      <x:c r="L40" s="5" t="n">
        <x:f>2*MAX(Parametros_Operacion!$B$7,Parametros_Operacion!$B$4)</x:f>
        <x:v>151</x:v>
      </x:c>
      <x:c r="M40" s="5" t="n">
        <x:f>SUM(Rutas_Base!U52,Rutas_Base!U54)</x:f>
        <x:v>19.98</x:v>
      </x:c>
      <x:c r="N40" s="5" t="n">
        <x:f>SUM(Rutas_Base!V52,Rutas_Base!V54)</x:f>
        <x:v>19.98</x:v>
      </x:c>
      <x:c r="O40" s="5" t="n">
        <x:f>SUM(Rutas_Base!H52,Rutas_Base!H54)</x:f>
        <x:v>253.38</x:v>
      </x:c>
      <x:c r="P40" s="5" t="n">
        <x:f>ROUND(L40+N40,2)</x:f>
        <x:v>170.98</x:v>
      </x:c>
      <x:c r="Q40" s="5" t="n">
        <x:f>ROUND(O40-P40,2)</x:f>
        <x:v>82.4</x:v>
      </x:c>
      <x:c r="R40" s="5" t="n">
        <x:f>SUM(Rutas_Base!L52,Rutas_Base!L54)</x:f>
        <x:v>948.7</x:v>
      </x:c>
      <x:c r="S40" s="5" t="n">
        <x:f>ROUND(P40/Vehiculos!$E$8*Vehiculos!$F$8,2)</x:f>
        <x:v>651.87</x:v>
      </x:c>
      <x:c r="T40" s="5" t="n">
        <x:f>ROUND(R40-S40,2)</x:f>
        <x:v>296.83</x:v>
      </x:c>
      <x:c r="U40" s="5" t="n">
        <x:f>SUM(Rutas_Base!O52,Rutas_Base!O54)</x:f>
        <x:v>355</x:v>
      </x:c>
      <x:c r="V40" s="5" t="n">
        <x:f>ROUND(P40/Vehiculos!$G$8*60+H40*8,0)</x:f>
        <x:v>255</x:v>
      </x:c>
      <x:c r="W40" s="5" t="n">
        <x:f>U40-V40</x:f>
        <x:v>100</x:v>
      </x:c>
      <x:c r="X40" s="1" t="n">
        <x:f>Vehiculos!$D$8</x:f>
        <x:v>12</x:v>
      </x:c>
      <x:c r="Y40" s="1" t="str">
        <x:f>IF(H40&lt;=X40,"Sí","No")</x:f>
        <x:v>Sí</x:v>
      </x:c>
      <x:c r="Z40" s="1" t="str">
        <x:f>IF(V40&lt;=Parametros_Operacion!$H$13,"Sí","No")</x:f>
        <x:v>Sí</x:v>
      </x:c>
      <x:c r="AA40" s="1" t="str">
        <x:f>IF(Q40&gt;0,"Ahorro por ruta compartida","Sin ahorro: recorrido equivalente")</x:f>
        <x:v>Ahorro por ruta compartida</x:v>
      </x:c>
    </x:row>
    <x:row r="41">
      <x:c r="A41" s="1" t="str">
        <x:v>PL-20260514-Z1</x:v>
      </x:c>
      <x:c r="B41" s="1" t="str">
        <x:v>2026-05-14</x:v>
      </x:c>
      <x:c r="C41" s="1" t="str">
        <x:v>Z1</x:v>
      </x:c>
      <x:c r="D41" s="1" t="str">
        <x:v>La Ceiba + Jutiapa</x:v>
      </x:c>
      <x:c r="E41" s="1" t="str">
        <x:v>R001</x:v>
      </x:c>
      <x:c r="F41" s="1" t="str">
        <x:v>Carlos Mejía</x:v>
      </x:c>
      <x:c r="G41" s="1" t="str">
        <x:v>V001</x:v>
      </x:c>
      <x:c r="H41" s="1" t="n">
        <x:v>4</x:v>
      </x:c>
      <x:c r="I41" s="1" t="str">
        <x:v>RT-20260514-R001 + RT-20260514-R003</x:v>
      </x:c>
      <x:c r="J41" s="1" t="n">
        <x:v>2</x:v>
      </x:c>
      <x:c r="K41" s="5" t="n">
        <x:f>SUM(Rutas_Base!T55,Rutas_Base!W55,Rutas_Base!T57,Rutas_Base!W57)</x:f>
        <x:v>62.8</x:v>
      </x:c>
      <x:c r="L41" s="5" t="n">
        <x:f>2*MAX(Parametros_Operacion!$B$6,Parametros_Operacion!$B$5)</x:f>
        <x:v>62.8</x:v>
      </x:c>
      <x:c r="M41" s="5" t="n">
        <x:f>SUM(Rutas_Base!U55,Rutas_Base!U57)</x:f>
        <x:v>13.5</x:v>
      </x:c>
      <x:c r="N41" s="5" t="n">
        <x:f>SUM(Rutas_Base!V55,Rutas_Base!V57)</x:f>
        <x:v>13.5</x:v>
      </x:c>
      <x:c r="O41" s="5" t="n">
        <x:f>SUM(Rutas_Base!H55,Rutas_Base!H57)</x:f>
        <x:v>76.30000000000001</x:v>
      </x:c>
      <x:c r="P41" s="5" t="n">
        <x:f>ROUND(L41+N41,2)</x:f>
        <x:v>76.3</x:v>
      </x:c>
      <x:c r="Q41" s="5" t="n">
        <x:f>ROUND(O41-P41,2)</x:f>
        <x:v>0</x:v>
      </x:c>
      <x:c r="R41" s="5" t="n">
        <x:f>SUM(Rutas_Base!L55,Rutas_Base!L57)</x:f>
        <x:v>288.03</x:v>
      </x:c>
      <x:c r="S41" s="5" t="n">
        <x:f>ROUND(P41/Vehiculos!$E$2*Vehiculos!$F$2,2)</x:f>
        <x:v>264.45</x:v>
      </x:c>
      <x:c r="T41" s="5" t="n">
        <x:f>ROUND(R41-S41,2)</x:f>
        <x:v>23.58</x:v>
      </x:c>
      <x:c r="U41" s="5" t="n">
        <x:f>SUM(Rutas_Base!O55,Rutas_Base!O57)</x:f>
        <x:v>129</x:v>
      </x:c>
      <x:c r="V41" s="5" t="n">
        <x:f>ROUND(P41/Vehiculos!$G$2*60+H41*8,0)</x:f>
        <x:v>124</x:v>
      </x:c>
      <x:c r="W41" s="5" t="n">
        <x:f>U41-V41</x:f>
        <x:v>5</x:v>
      </x:c>
      <x:c r="X41" s="1" t="n">
        <x:f>Vehiculos!$D$2</x:f>
        <x:v>12</x:v>
      </x:c>
      <x:c r="Y41" s="1" t="str">
        <x:f>IF(H41&lt;=X41,"Sí","No")</x:f>
        <x:v>Sí</x:v>
      </x:c>
      <x:c r="Z41" s="1" t="str">
        <x:f>IF(V41&lt;=Parametros_Operacion!$H$13,"Sí","No")</x:f>
        <x:v>Sí</x:v>
      </x:c>
      <x:c r="AA41" s="1" t="str">
        <x:f>IF(Q41&gt;0,"Ahorro por ruta compartida","Sin ahorro: recorrido equivalente")</x:f>
        <x:v>Sin ahorro: recorrido equivalente</x:v>
      </x:c>
    </x:row>
    <x:row r="42">
      <x:c r="A42" s="1" t="str">
        <x:v>PL-20260514-Z2</x:v>
      </x:c>
      <x:c r="B42" s="1" t="str">
        <x:v>2026-05-14</x:v>
      </x:c>
      <x:c r="C42" s="1" t="str">
        <x:v>Z2</x:v>
      </x:c>
      <x:c r="D42" s="1" t="str">
        <x:v>El Porvenir + San Francisco</x:v>
      </x:c>
      <x:c r="E42" s="1" t="str">
        <x:v>R004</x:v>
      </x:c>
      <x:c r="F42" s="1" t="str">
        <x:v>Daniela Cruz</x:v>
      </x:c>
      <x:c r="G42" s="1" t="str">
        <x:v>V004</x:v>
      </x:c>
      <x:c r="H42" s="1" t="n">
        <x:v>3</x:v>
      </x:c>
      <x:c r="I42" s="1" t="str">
        <x:v>RT-20260514-R008 + RT-20260514-R005</x:v>
      </x:c>
      <x:c r="J42" s="1" t="n">
        <x:v>2</x:v>
      </x:c>
      <x:c r="K42" s="5" t="n">
        <x:f>SUM(Rutas_Base!T61,Rutas_Base!W61,Rutas_Base!T59,Rutas_Base!W59)</x:f>
        <x:v>103</x:v>
      </x:c>
      <x:c r="L42" s="5" t="n">
        <x:f>2*MAX(Parametros_Operacion!$B$3,Parametros_Operacion!$B$8)</x:f>
        <x:v>70</x:v>
      </x:c>
      <x:c r="M42" s="5" t="n">
        <x:f>SUM(Rutas_Base!U61,Rutas_Base!U59)</x:f>
        <x:v>11</x:v>
      </x:c>
      <x:c r="N42" s="5" t="n">
        <x:f>SUM(Rutas_Base!V61,Rutas_Base!V59)</x:f>
        <x:v>11</x:v>
      </x:c>
      <x:c r="O42" s="5" t="n">
        <x:f>SUM(Rutas_Base!H61,Rutas_Base!H59)</x:f>
        <x:v>114</x:v>
      </x:c>
      <x:c r="P42" s="5" t="n">
        <x:f>ROUND(L42+N42,2)</x:f>
        <x:v>81</x:v>
      </x:c>
      <x:c r="Q42" s="5" t="n">
        <x:f>ROUND(O42-P42,2)</x:f>
        <x:v>33</x:v>
      </x:c>
      <x:c r="R42" s="5" t="n">
        <x:f>SUM(Rutas_Base!L61,Rutas_Base!L59)</x:f>
        <x:v>555.47</x:v>
      </x:c>
      <x:c r="S42" s="5" t="n">
        <x:f>ROUND(P42/Vehiculos!$E$5*Vehiculos!$F$5,2)</x:f>
        <x:v>294.11</x:v>
      </x:c>
      <x:c r="T42" s="5" t="n">
        <x:f>ROUND(R42-S42,2)</x:f>
        <x:v>261.36</x:v>
      </x:c>
      <x:c r="U42" s="5" t="n">
        <x:f>SUM(Rutas_Base!O61,Rutas_Base!O59)</x:f>
        <x:v>185</x:v>
      </x:c>
      <x:c r="V42" s="5" t="n">
        <x:f>ROUND(P42/Vehiculos!$G$5*60+H42*8,0)</x:f>
        <x:v>123</x:v>
      </x:c>
      <x:c r="W42" s="5" t="n">
        <x:f>U42-V42</x:f>
        <x:v>62</x:v>
      </x:c>
      <x:c r="X42" s="1" t="n">
        <x:f>Vehiculos!$D$5</x:f>
        <x:v>12</x:v>
      </x:c>
      <x:c r="Y42" s="1" t="str">
        <x:f>IF(H42&lt;=X42,"Sí","No")</x:f>
        <x:v>Sí</x:v>
      </x:c>
      <x:c r="Z42" s="1" t="str">
        <x:f>IF(V42&lt;=Parametros_Operacion!$H$13,"Sí","No")</x:f>
        <x:v>Sí</x:v>
      </x:c>
      <x:c r="AA42" s="1" t="str">
        <x:f>IF(Q42&gt;0,"Ahorro por ruta compartida","Sin ahorro: recorrido equivalente")</x:f>
        <x:v>Ahorro por ruta compartida</x:v>
      </x:c>
    </x:row>
    <x:row r="43">
      <x:c r="A43" s="1" t="str">
        <x:v>PL-20260514-Z3</x:v>
      </x:c>
      <x:c r="B43" s="1" t="str">
        <x:v>2026-05-14</x:v>
      </x:c>
      <x:c r="C43" s="1" t="str">
        <x:v>Z3</x:v>
      </x:c>
      <x:c r="D43" s="1" t="str">
        <x:v>La Masica</x:v>
      </x:c>
      <x:c r="E43" s="1" t="str">
        <x:v>R007</x:v>
      </x:c>
      <x:c r="F43" s="1" t="str">
        <x:v>María Hernández</x:v>
      </x:c>
      <x:c r="G43" s="1" t="str">
        <x:v>V007</x:v>
      </x:c>
      <x:c r="H43" s="1" t="n">
        <x:v>1</x:v>
      </x:c>
      <x:c r="I43" s="1" t="str">
        <x:v>RT-20260514-R004</x:v>
      </x:c>
      <x:c r="J43" s="1" t="n">
        <x:v>1</x:v>
      </x:c>
      <x:c r="K43" s="5" t="n">
        <x:f>SUM(Rutas_Base!T58,Rutas_Base!W58)</x:f>
        <x:v>82.4</x:v>
      </x:c>
      <x:c r="L43" s="5" t="n">
        <x:f>2*MAX(Parametros_Operacion!$B$7)</x:f>
        <x:v>82.4</x:v>
      </x:c>
      <x:c r="M43" s="5" t="n">
        <x:f>SUM(Rutas_Base!U58)</x:f>
        <x:v>6.6</x:v>
      </x:c>
      <x:c r="N43" s="5" t="n">
        <x:f>SUM(Rutas_Base!V58)</x:f>
        <x:v>6.6</x:v>
      </x:c>
      <x:c r="O43" s="5" t="n">
        <x:f>SUM(Rutas_Base!H58)</x:f>
        <x:v>89</x:v>
      </x:c>
      <x:c r="P43" s="5" t="n">
        <x:f>ROUND(L43+N43,2)</x:f>
        <x:v>89</x:v>
      </x:c>
      <x:c r="Q43" s="5" t="n">
        <x:f>ROUND(O43-P43,2)</x:f>
        <x:v>0</x:v>
      </x:c>
      <x:c r="R43" s="5" t="n">
        <x:f>SUM(Rutas_Base!L58)</x:f>
        <x:v>323.16</x:v>
      </x:c>
      <x:c r="S43" s="5" t="n">
        <x:f>ROUND(P43/Vehiculos!$E$8*Vehiculos!$F$8,2)</x:f>
        <x:v>339.32</x:v>
      </x:c>
      <x:c r="T43" s="5" t="n">
        <x:f>ROUND(R43-S43,2)</x:f>
        <x:v>-16.16</x:v>
      </x:c>
      <x:c r="U43" s="5" t="n">
        <x:f>SUM(Rutas_Base!O58)</x:f>
        <x:v>117</x:v>
      </x:c>
      <x:c r="V43" s="5" t="n">
        <x:f>ROUND(P43/Vehiculos!$G$8*60+H43*8,0)</x:f>
        <x:v>124</x:v>
      </x:c>
      <x:c r="W43" s="5" t="n">
        <x:f>U43-V43</x:f>
        <x:v>-7</x:v>
      </x:c>
      <x:c r="X43" s="1" t="n">
        <x:f>Vehiculos!$D$8</x:f>
        <x:v>12</x:v>
      </x:c>
      <x:c r="Y43" s="1" t="str">
        <x:f>IF(H43&lt;=X43,"Sí","No")</x:f>
        <x:v>Sí</x:v>
      </x:c>
      <x:c r="Z43" s="1" t="str">
        <x:f>IF(V43&lt;=Parametros_Operacion!$H$13,"Sí","No")</x:f>
        <x:v>Sí</x:v>
      </x:c>
      <x:c r="AA43" s="1" t="str">
        <x:f>IF(Q43&gt;0,"Ahorro por ruta compartida","Sin ahorro: recorrido equivalente")</x:f>
        <x:v>Sin ahorro: recorrido equivalente</x:v>
      </x:c>
    </x:row>
    <x:row r="44">
      <x:c r="A44" s="1" t="str">
        <x:v>PL-20260514-Z4</x:v>
      </x:c>
      <x:c r="B44" s="1" t="str">
        <x:v>2026-05-14</x:v>
      </x:c>
      <x:c r="C44" s="1" t="str">
        <x:v>Z4</x:v>
      </x:c>
      <x:c r="D44" s="1" t="str">
        <x:v>Arizona + Tela</x:v>
      </x:c>
      <x:c r="E44" s="1" t="str">
        <x:v>R002</x:v>
      </x:c>
      <x:c r="F44" s="1" t="str">
        <x:v>Ana López</x:v>
      </x:c>
      <x:c r="G44" s="1" t="str">
        <x:v>V002</x:v>
      </x:c>
      <x:c r="H44" s="1" t="n">
        <x:v>2</x:v>
      </x:c>
      <x:c r="I44" s="1" t="str">
        <x:v>RT-20260514-R006 + RT-20260514-R002</x:v>
      </x:c>
      <x:c r="J44" s="1" t="n">
        <x:v>2</x:v>
      </x:c>
      <x:c r="K44" s="5" t="n">
        <x:f>SUM(Rutas_Base!T60,Rutas_Base!W60,Rutas_Base!T56,Rutas_Base!W56)</x:f>
        <x:v>349.6</x:v>
      </x:c>
      <x:c r="L44" s="5" t="n">
        <x:f>2*MAX(Parametros_Operacion!$B$2,Parametros_Operacion!$B$9)</x:f>
        <x:v>204.6</x:v>
      </x:c>
      <x:c r="M44" s="5" t="n">
        <x:f>SUM(Rutas_Base!U60,Rutas_Base!U56)</x:f>
        <x:v>15.5</x:v>
      </x:c>
      <x:c r="N44" s="5" t="n">
        <x:f>SUM(Rutas_Base!V60,Rutas_Base!V56)</x:f>
        <x:v>15.5</x:v>
      </x:c>
      <x:c r="O44" s="5" t="n">
        <x:f>SUM(Rutas_Base!H60,Rutas_Base!H56)</x:f>
        <x:v>365.1</x:v>
      </x:c>
      <x:c r="P44" s="5" t="n">
        <x:f>ROUND(L44+N44,2)</x:f>
        <x:v>220.1</x:v>
      </x:c>
      <x:c r="Q44" s="5" t="n">
        <x:f>ROUND(O44-P44,2)</x:f>
        <x:v>145</x:v>
      </x:c>
      <x:c r="R44" s="5" t="n">
        <x:f>SUM(Rutas_Base!L60,Rutas_Base!L56)</x:f>
        <x:v>1353.29</x:v>
      </x:c>
      <x:c r="S44" s="5" t="n">
        <x:f>ROUND(P44/Vehiculos!$E$3*Vehiculos!$F$3,2)</x:f>
        <x:v>799.18</x:v>
      </x:c>
      <x:c r="T44" s="5" t="n">
        <x:f>ROUND(R44-S44,2)</x:f>
        <x:v>554.11</x:v>
      </x:c>
      <x:c r="U44" s="5" t="n">
        <x:f>SUM(Rutas_Base!O60,Rutas_Base!O56)</x:f>
        <x:v>476</x:v>
      </x:c>
      <x:c r="V44" s="5" t="n">
        <x:f>ROUND(P44/Vehiculos!$G$3*60+H44*8,0)</x:f>
        <x:v>291</x:v>
      </x:c>
      <x:c r="W44" s="5" t="n">
        <x:f>U44-V44</x:f>
        <x:v>185</x:v>
      </x:c>
      <x:c r="X44" s="1" t="n">
        <x:f>Vehiculos!$D$3</x:f>
        <x:v>12</x:v>
      </x:c>
      <x:c r="Y44" s="1" t="str">
        <x:f>IF(H44&lt;=X44,"Sí","No")</x:f>
        <x:v>Sí</x:v>
      </x:c>
      <x:c r="Z44" s="1" t="str">
        <x:f>IF(V44&lt;=Parametros_Operacion!$H$13,"Sí","No")</x:f>
        <x:v>Sí</x:v>
      </x:c>
      <x:c r="AA44" s="1" t="str">
        <x:f>IF(Q44&gt;0,"Ahorro por ruta compartida","Sin ahorro: recorrido equivalente")</x:f>
        <x:v>Ahorro por ruta compartida</x:v>
      </x:c>
    </x:row>
    <x:row r="45">
      <x:c r="A45" s="1" t="str">
        <x:v>PL-20260515-Z1</x:v>
      </x:c>
      <x:c r="B45" s="1" t="str">
        <x:v>2026-05-15</x:v>
      </x:c>
      <x:c r="C45" s="1" t="str">
        <x:v>Z1</x:v>
      </x:c>
      <x:c r="D45" s="1" t="str">
        <x:v>La Ceiba</x:v>
      </x:c>
      <x:c r="E45" s="1" t="str">
        <x:v>R001</x:v>
      </x:c>
      <x:c r="F45" s="1" t="str">
        <x:v>Carlos Mejía</x:v>
      </x:c>
      <x:c r="G45" s="1" t="str">
        <x:v>V001</x:v>
      </x:c>
      <x:c r="H45" s="1" t="n">
        <x:v>2</x:v>
      </x:c>
      <x:c r="I45" s="1" t="str">
        <x:v>RT-20260515-R001</x:v>
      </x:c>
      <x:c r="J45" s="1" t="n">
        <x:v>1</x:v>
      </x:c>
      <x:c r="K45" s="5" t="n">
        <x:f>SUM(Rutas_Base!T62,Rutas_Base!W62)</x:f>
        <x:v>0</x:v>
      </x:c>
      <x:c r="L45" s="5" t="n">
        <x:f>2*MAX(Parametros_Operacion!$B$6)</x:f>
        <x:v>0</x:v>
      </x:c>
      <x:c r="M45" s="5" t="n">
        <x:f>SUM(Rutas_Base!U62)</x:f>
        <x:v>11.71</x:v>
      </x:c>
      <x:c r="N45" s="5" t="n">
        <x:f>SUM(Rutas_Base!V62)</x:f>
        <x:v>11.71</x:v>
      </x:c>
      <x:c r="O45" s="5" t="n">
        <x:f>SUM(Rutas_Base!H62)</x:f>
        <x:v>11.71</x:v>
      </x:c>
      <x:c r="P45" s="5" t="n">
        <x:f>ROUND(L45+N45,2)</x:f>
        <x:v>11.71</x:v>
      </x:c>
      <x:c r="Q45" s="5" t="n">
        <x:f>ROUND(O45-P45,2)</x:f>
        <x:v>0</x:v>
      </x:c>
      <x:c r="R45" s="5" t="n">
        <x:f>SUM(Rutas_Base!L62)</x:f>
        <x:v>40.58</x:v>
      </x:c>
      <x:c r="S45" s="5" t="n">
        <x:f>ROUND(P45/Vehiculos!$E$2*Vehiculos!$F$2,2)</x:f>
        <x:v>40.59</x:v>
      </x:c>
      <x:c r="T45" s="5" t="n">
        <x:f>ROUND(R45-S45,2)</x:f>
        <x:v>-0.01</x:v>
      </x:c>
      <x:c r="U45" s="5" t="n">
        <x:f>SUM(Rutas_Base!O62)</x:f>
        <x:v>30</x:v>
      </x:c>
      <x:c r="V45" s="5" t="n">
        <x:f>ROUND(P45/Vehiculos!$G$2*60+H45*8,0)</x:f>
        <x:v>30</x:v>
      </x:c>
      <x:c r="W45" s="5" t="n">
        <x:f>U45-V45</x:f>
        <x:v>0</x:v>
      </x:c>
      <x:c r="X45" s="1" t="n">
        <x:f>Vehiculos!$D$2</x:f>
        <x:v>12</x:v>
      </x:c>
      <x:c r="Y45" s="1" t="str">
        <x:f>IF(H45&lt;=X45,"Sí","No")</x:f>
        <x:v>Sí</x:v>
      </x:c>
      <x:c r="Z45" s="1" t="str">
        <x:f>IF(V45&lt;=Parametros_Operacion!$H$13,"Sí","No")</x:f>
        <x:v>Sí</x:v>
      </x:c>
      <x:c r="AA45" s="1" t="str">
        <x:f>IF(Q45&gt;0,"Ahorro por ruta compartida","Sin ahorro: recorrido equivalente")</x:f>
        <x:v>Sin ahorro: recorrido equivalente</x:v>
      </x:c>
    </x:row>
    <x:row r="46">
      <x:c r="A46" s="1" t="str">
        <x:v>PL-20260515-Z3</x:v>
      </x:c>
      <x:c r="B46" s="1" t="str">
        <x:v>2026-05-15</x:v>
      </x:c>
      <x:c r="C46" s="1" t="str">
        <x:v>Z3</x:v>
      </x:c>
      <x:c r="D46" s="1" t="str">
        <x:v>La Masica</x:v>
      </x:c>
      <x:c r="E46" s="1" t="str">
        <x:v>R007</x:v>
      </x:c>
      <x:c r="F46" s="1" t="str">
        <x:v>María Hernández</x:v>
      </x:c>
      <x:c r="G46" s="1" t="str">
        <x:v>V007</x:v>
      </x:c>
      <x:c r="H46" s="1" t="n">
        <x:v>2</x:v>
      </x:c>
      <x:c r="I46" s="1" t="str">
        <x:v>RT-20260515-R004</x:v>
      </x:c>
      <x:c r="J46" s="1" t="n">
        <x:v>1</x:v>
      </x:c>
      <x:c r="K46" s="5" t="n">
        <x:f>SUM(Rutas_Base!T64,Rutas_Base!W64)</x:f>
        <x:v>82.4</x:v>
      </x:c>
      <x:c r="L46" s="5" t="n">
        <x:f>2*MAX(Parametros_Operacion!$B$7)</x:f>
        <x:v>82.4</x:v>
      </x:c>
      <x:c r="M46" s="5" t="n">
        <x:f>SUM(Rutas_Base!U64)</x:f>
        <x:v>4.01</x:v>
      </x:c>
      <x:c r="N46" s="5" t="n">
        <x:f>SUM(Rutas_Base!V64)</x:f>
        <x:v>4.01</x:v>
      </x:c>
      <x:c r="O46" s="5" t="n">
        <x:f>SUM(Rutas_Base!H64)</x:f>
        <x:v>86.41</x:v>
      </x:c>
      <x:c r="P46" s="5" t="n">
        <x:f>ROUND(L46+N46,2)</x:f>
        <x:v>86.41</x:v>
      </x:c>
      <x:c r="Q46" s="5" t="n">
        <x:f>ROUND(O46-P46,2)</x:f>
        <x:v>0</x:v>
      </x:c>
      <x:c r="R46" s="5" t="n">
        <x:f>SUM(Rutas_Base!L64)</x:f>
        <x:v>313.76</x:v>
      </x:c>
      <x:c r="S46" s="5" t="n">
        <x:f>ROUND(P46/Vehiculos!$E$8*Vehiculos!$F$8,2)</x:f>
        <x:v>329.44</x:v>
      </x:c>
      <x:c r="T46" s="5" t="n">
        <x:f>ROUND(R46-S46,2)</x:f>
        <x:v>-15.68</x:v>
      </x:c>
      <x:c r="U46" s="5" t="n">
        <x:f>SUM(Rutas_Base!O64)</x:f>
        <x:v>122</x:v>
      </x:c>
      <x:c r="V46" s="5" t="n">
        <x:f>ROUND(P46/Vehiculos!$G$8*60+H46*8,0)</x:f>
        <x:v>129</x:v>
      </x:c>
      <x:c r="W46" s="5" t="n">
        <x:f>U46-V46</x:f>
        <x:v>-7</x:v>
      </x:c>
      <x:c r="X46" s="1" t="n">
        <x:f>Vehiculos!$D$8</x:f>
        <x:v>12</x:v>
      </x:c>
      <x:c r="Y46" s="1" t="str">
        <x:f>IF(H46&lt;=X46,"Sí","No")</x:f>
        <x:v>Sí</x:v>
      </x:c>
      <x:c r="Z46" s="1" t="str">
        <x:f>IF(V46&lt;=Parametros_Operacion!$H$13,"Sí","No")</x:f>
        <x:v>Sí</x:v>
      </x:c>
      <x:c r="AA46" s="1" t="str">
        <x:f>IF(Q46&gt;0,"Ahorro por ruta compartida","Sin ahorro: recorrido equivalente")</x:f>
        <x:v>Sin ahorro: recorrido equivalente</x:v>
      </x:c>
    </x:row>
    <x:row r="47">
      <x:c r="A47" s="1" t="str">
        <x:v>PL-20260515-Z4</x:v>
      </x:c>
      <x:c r="B47" s="1" t="str">
        <x:v>2026-05-15</x:v>
      </x:c>
      <x:c r="C47" s="1" t="str">
        <x:v>Z4</x:v>
      </x:c>
      <x:c r="D47" s="1" t="str">
        <x:v>Tela</x:v>
      </x:c>
      <x:c r="E47" s="1" t="str">
        <x:v>R002</x:v>
      </x:c>
      <x:c r="F47" s="1" t="str">
        <x:v>Ana López</x:v>
      </x:c>
      <x:c r="G47" s="1" t="str">
        <x:v>V002</x:v>
      </x:c>
      <x:c r="H47" s="1" t="n">
        <x:v>1</x:v>
      </x:c>
      <x:c r="I47" s="1" t="str">
        <x:v>RT-20260515-R002</x:v>
      </x:c>
      <x:c r="J47" s="1" t="n">
        <x:v>1</x:v>
      </x:c>
      <x:c r="K47" s="5" t="n">
        <x:f>SUM(Rutas_Base!T63,Rutas_Base!W63)</x:f>
        <x:v>204.6</x:v>
      </x:c>
      <x:c r="L47" s="5" t="n">
        <x:f>2*MAX(Parametros_Operacion!$B$9)</x:f>
        <x:v>204.6</x:v>
      </x:c>
      <x:c r="M47" s="5" t="n">
        <x:f>SUM(Rutas_Base!U63)</x:f>
        <x:v>4.02</x:v>
      </x:c>
      <x:c r="N47" s="5" t="n">
        <x:f>SUM(Rutas_Base!V63)</x:f>
        <x:v>4.02</x:v>
      </x:c>
      <x:c r="O47" s="5" t="n">
        <x:f>SUM(Rutas_Base!H63)</x:f>
        <x:v>208.62</x:v>
      </x:c>
      <x:c r="P47" s="5" t="n">
        <x:f>ROUND(L47+N47,2)</x:f>
        <x:v>208.62</x:v>
      </x:c>
      <x:c r="Q47" s="5" t="n">
        <x:f>ROUND(O47-P47,2)</x:f>
        <x:v>0</x:v>
      </x:c>
      <x:c r="R47" s="5" t="n">
        <x:f>SUM(Rutas_Base!L63)</x:f>
        <x:v>757.5</x:v>
      </x:c>
      <x:c r="S47" s="5" t="n">
        <x:f>ROUND(P47/Vehiculos!$E$3*Vehiculos!$F$3,2)</x:f>
        <x:v>757.5</x:v>
      </x:c>
      <x:c r="T47" s="5" t="n">
        <x:f>ROUND(R47-S47,2)</x:f>
        <x:v>0</x:v>
      </x:c>
      <x:c r="U47" s="5" t="n">
        <x:f>SUM(Rutas_Base!O63)</x:f>
        <x:v>269</x:v>
      </x:c>
      <x:c r="V47" s="5" t="n">
        <x:f>ROUND(P47/Vehiculos!$G$3*60+H47*8,0)</x:f>
        <x:v>269</x:v>
      </x:c>
      <x:c r="W47" s="5" t="n">
        <x:f>U47-V47</x:f>
        <x:v>0</x:v>
      </x:c>
      <x:c r="X47" s="1" t="n">
        <x:f>Vehiculos!$D$3</x:f>
        <x:v>12</x:v>
      </x:c>
      <x:c r="Y47" s="1" t="str">
        <x:f>IF(H47&lt;=X47,"Sí","No")</x:f>
        <x:v>Sí</x:v>
      </x:c>
      <x:c r="Z47" s="1" t="str">
        <x:f>IF(V47&lt;=Parametros_Operacion!$H$13,"Sí","No")</x:f>
        <x:v>Sí</x:v>
      </x:c>
      <x:c r="AA47" s="1" t="str">
        <x:f>IF(Q47&gt;0,"Ahorro por ruta compartida","Sin ahorro: recorrido equivalente")</x:f>
        <x:v>Sin ahorro: recorrido equivalente</x:v>
      </x:c>
    </x:row>
    <x:row r="48">
      <x:c r="A48" s="1" t="str">
        <x:v>PL-20260516-Z1</x:v>
      </x:c>
      <x:c r="B48" s="1" t="str">
        <x:v>2026-05-16</x:v>
      </x:c>
      <x:c r="C48" s="1" t="str">
        <x:v>Z1</x:v>
      </x:c>
      <x:c r="D48" s="1" t="str">
        <x:v>La Ceiba</x:v>
      </x:c>
      <x:c r="E48" s="1" t="str">
        <x:v>R001</x:v>
      </x:c>
      <x:c r="F48" s="1" t="str">
        <x:v>Carlos Mejía</x:v>
      </x:c>
      <x:c r="G48" s="1" t="str">
        <x:v>V001</x:v>
      </x:c>
      <x:c r="H48" s="1" t="n">
        <x:v>1</x:v>
      </x:c>
      <x:c r="I48" s="1" t="str">
        <x:v>RT-20260516-R001</x:v>
      </x:c>
      <x:c r="J48" s="1" t="n">
        <x:v>1</x:v>
      </x:c>
      <x:c r="K48" s="5" t="n">
        <x:f>SUM(Rutas_Base!T65,Rutas_Base!W65)</x:f>
        <x:v>0</x:v>
      </x:c>
      <x:c r="L48" s="5" t="n">
        <x:f>2*MAX(Parametros_Operacion!$B$6)</x:f>
        <x:v>0</x:v>
      </x:c>
      <x:c r="M48" s="5" t="n">
        <x:f>SUM(Rutas_Base!U65)</x:f>
        <x:v>5.2</x:v>
      </x:c>
      <x:c r="N48" s="5" t="n">
        <x:f>SUM(Rutas_Base!V65)</x:f>
        <x:v>5.2</x:v>
      </x:c>
      <x:c r="O48" s="5" t="n">
        <x:f>SUM(Rutas_Base!H65)</x:f>
        <x:v>5.2</x:v>
      </x:c>
      <x:c r="P48" s="5" t="n">
        <x:f>ROUND(L48+N48,2)</x:f>
        <x:v>5.2</x:v>
      </x:c>
      <x:c r="Q48" s="5" t="n">
        <x:f>ROUND(O48-P48,2)</x:f>
        <x:v>0</x:v>
      </x:c>
      <x:c r="R48" s="5" t="n">
        <x:f>SUM(Rutas_Base!L65)</x:f>
        <x:v>18.02</x:v>
      </x:c>
      <x:c r="S48" s="5" t="n">
        <x:f>ROUND(P48/Vehiculos!$E$2*Vehiculos!$F$2,2)</x:f>
        <x:v>18.02</x:v>
      </x:c>
      <x:c r="T48" s="5" t="n">
        <x:f>ROUND(R48-S48,2)</x:f>
        <x:v>0</x:v>
      </x:c>
      <x:c r="U48" s="5" t="n">
        <x:f>SUM(Rutas_Base!O65)</x:f>
        <x:v>14</x:v>
      </x:c>
      <x:c r="V48" s="5" t="n">
        <x:f>ROUND(P48/Vehiculos!$G$2*60+H48*8,0)</x:f>
        <x:v>14</x:v>
      </x:c>
      <x:c r="W48" s="5" t="n">
        <x:f>U48-V48</x:f>
        <x:v>0</x:v>
      </x:c>
      <x:c r="X48" s="1" t="n">
        <x:f>Vehiculos!$D$2</x:f>
        <x:v>12</x:v>
      </x:c>
      <x:c r="Y48" s="1" t="str">
        <x:f>IF(H48&lt;=X48,"Sí","No")</x:f>
        <x:v>Sí</x:v>
      </x:c>
      <x:c r="Z48" s="1" t="str">
        <x:f>IF(V48&lt;=Parametros_Operacion!$H$13,"Sí","No")</x:f>
        <x:v>Sí</x:v>
      </x:c>
      <x:c r="AA48" s="1" t="str">
        <x:f>IF(Q48&gt;0,"Ahorro por ruta compartida","Sin ahorro: recorrido equivalente")</x:f>
        <x:v>Sin ahorro: recorrido equivalente</x:v>
      </x:c>
    </x:row>
    <x:row r="49">
      <x:c r="A49" s="1" t="str">
        <x:v>PL-20260516-Z2</x:v>
      </x:c>
      <x:c r="B49" s="1" t="str">
        <x:v>2026-05-16</x:v>
      </x:c>
      <x:c r="C49" s="1" t="str">
        <x:v>Z2</x:v>
      </x:c>
      <x:c r="D49" s="1" t="str">
        <x:v>San Francisco</x:v>
      </x:c>
      <x:c r="E49" s="1" t="str">
        <x:v>R004</x:v>
      </x:c>
      <x:c r="F49" s="1" t="str">
        <x:v>Daniela Cruz</x:v>
      </x:c>
      <x:c r="G49" s="1" t="str">
        <x:v>V004</x:v>
      </x:c>
      <x:c r="H49" s="1" t="n">
        <x:v>1</x:v>
      </x:c>
      <x:c r="I49" s="1" t="str">
        <x:v>RT-20260516-R005</x:v>
      </x:c>
      <x:c r="J49" s="1" t="n">
        <x:v>1</x:v>
      </x:c>
      <x:c r="K49" s="5" t="n">
        <x:f>SUM(Rutas_Base!T67,Rutas_Base!W67)</x:f>
        <x:v>70</x:v>
      </x:c>
      <x:c r="L49" s="5" t="n">
        <x:f>2*MAX(Parametros_Operacion!$B$8)</x:f>
        <x:v>70</x:v>
      </x:c>
      <x:c r="M49" s="5" t="n">
        <x:f>SUM(Rutas_Base!U67)</x:f>
        <x:v>5.5</x:v>
      </x:c>
      <x:c r="N49" s="5" t="n">
        <x:f>SUM(Rutas_Base!V67)</x:f>
        <x:v>5.5</x:v>
      </x:c>
      <x:c r="O49" s="5" t="n">
        <x:f>SUM(Rutas_Base!H67)</x:f>
        <x:v>75.5</x:v>
      </x:c>
      <x:c r="P49" s="5" t="n">
        <x:f>ROUND(L49+N49,2)</x:f>
        <x:v>75.5</x:v>
      </x:c>
      <x:c r="Q49" s="5" t="n">
        <x:f>ROUND(O49-P49,2)</x:f>
        <x:v>0</x:v>
      </x:c>
      <x:c r="R49" s="5" t="n">
        <x:f>SUM(Rutas_Base!L67)</x:f>
        <x:v>359.81</x:v>
      </x:c>
      <x:c r="S49" s="5" t="n">
        <x:f>ROUND(P49/Vehiculos!$E$5*Vehiculos!$F$5,2)</x:f>
        <x:v>274.14</x:v>
      </x:c>
      <x:c r="T49" s="5" t="n">
        <x:f>ROUND(R49-S49,2)</x:f>
        <x:v>85.67</x:v>
      </x:c>
      <x:c r="U49" s="5" t="n">
        <x:f>SUM(Rutas_Base!O67)</x:f>
        <x:v>113</x:v>
      </x:c>
      <x:c r="V49" s="5" t="n">
        <x:f>ROUND(P49/Vehiculos!$G$5*60+H49*8,0)</x:f>
        <x:v>100</x:v>
      </x:c>
      <x:c r="W49" s="5" t="n">
        <x:f>U49-V49</x:f>
        <x:v>13</x:v>
      </x:c>
      <x:c r="X49" s="1" t="n">
        <x:f>Vehiculos!$D$5</x:f>
        <x:v>12</x:v>
      </x:c>
      <x:c r="Y49" s="1" t="str">
        <x:f>IF(H49&lt;=X49,"Sí","No")</x:f>
        <x:v>Sí</x:v>
      </x:c>
      <x:c r="Z49" s="1" t="str">
        <x:f>IF(V49&lt;=Parametros_Operacion!$H$13,"Sí","No")</x:f>
        <x:v>Sí</x:v>
      </x:c>
      <x:c r="AA49" s="1" t="str">
        <x:f>IF(Q49&gt;0,"Ahorro por ruta compartida","Sin ahorro: recorrido equivalente")</x:f>
        <x:v>Sin ahorro: recorrido equivalente</x:v>
      </x:c>
    </x:row>
    <x:row r="50">
      <x:c r="A50" s="1" t="str">
        <x:v>PL-20260516-Z3</x:v>
      </x:c>
      <x:c r="B50" s="1" t="str">
        <x:v>2026-05-16</x:v>
      </x:c>
      <x:c r="C50" s="1" t="str">
        <x:v>Z3</x:v>
      </x:c>
      <x:c r="D50" s="1" t="str">
        <x:v>La Masica + Esparta</x:v>
      </x:c>
      <x:c r="E50" s="1" t="str">
        <x:v>R007</x:v>
      </x:c>
      <x:c r="F50" s="1" t="str">
        <x:v>María Hernández</x:v>
      </x:c>
      <x:c r="G50" s="1" t="str">
        <x:v>V007</x:v>
      </x:c>
      <x:c r="H50" s="1" t="n">
        <x:v>4</x:v>
      </x:c>
      <x:c r="I50" s="1" t="str">
        <x:v>RT-20260516-R004 + RT-20260516-R007</x:v>
      </x:c>
      <x:c r="J50" s="1" t="n">
        <x:v>2</x:v>
      </x:c>
      <x:c r="K50" s="5" t="n">
        <x:f>SUM(Rutas_Base!T66,Rutas_Base!W66,Rutas_Base!T68,Rutas_Base!W68)</x:f>
        <x:v>233.4</x:v>
      </x:c>
      <x:c r="L50" s="5" t="n">
        <x:f>2*MAX(Parametros_Operacion!$B$7,Parametros_Operacion!$B$4)</x:f>
        <x:v>151</x:v>
      </x:c>
      <x:c r="M50" s="5" t="n">
        <x:f>SUM(Rutas_Base!U66,Rutas_Base!U68)</x:f>
        <x:v>24.82</x:v>
      </x:c>
      <x:c r="N50" s="5" t="n">
        <x:f>SUM(Rutas_Base!V66,Rutas_Base!V68)</x:f>
        <x:v>19.82</x:v>
      </x:c>
      <x:c r="O50" s="5" t="n">
        <x:f>SUM(Rutas_Base!H66,Rutas_Base!H68)</x:f>
        <x:v>258.22</x:v>
      </x:c>
      <x:c r="P50" s="5" t="n">
        <x:f>ROUND(L50+N50,2)</x:f>
        <x:v>170.82</x:v>
      </x:c>
      <x:c r="Q50" s="5" t="n">
        <x:f>ROUND(O50-P50,2)</x:f>
        <x:v>87.4</x:v>
      </x:c>
      <x:c r="R50" s="5" t="n">
        <x:f>SUM(Rutas_Base!L66,Rutas_Base!L68)</x:f>
        <x:v>966.31</x:v>
      </x:c>
      <x:c r="S50" s="5" t="n">
        <x:f>ROUND(P50/Vehiculos!$E$8*Vehiculos!$F$8,2)</x:f>
        <x:v>651.26</x:v>
      </x:c>
      <x:c r="T50" s="5" t="n">
        <x:f>ROUND(R50-S50,2)</x:f>
        <x:v>315.05</x:v>
      </x:c>
      <x:c r="U50" s="5" t="n">
        <x:f>SUM(Rutas_Base!O66,Rutas_Base!O68)</x:f>
        <x:v>360</x:v>
      </x:c>
      <x:c r="V50" s="5" t="n">
        <x:f>ROUND(P50/Vehiculos!$G$8*60+H50*8,0)</x:f>
        <x:v>255</x:v>
      </x:c>
      <x:c r="W50" s="5" t="n">
        <x:f>U50-V50</x:f>
        <x:v>105</x:v>
      </x:c>
      <x:c r="X50" s="1" t="n">
        <x:f>Vehiculos!$D$8</x:f>
        <x:v>12</x:v>
      </x:c>
      <x:c r="Y50" s="1" t="str">
        <x:f>IF(H50&lt;=X50,"Sí","No")</x:f>
        <x:v>Sí</x:v>
      </x:c>
      <x:c r="Z50" s="1" t="str">
        <x:f>IF(V50&lt;=Parametros_Operacion!$H$13,"Sí","No")</x:f>
        <x:v>Sí</x:v>
      </x:c>
      <x:c r="AA50" s="1" t="str">
        <x:f>IF(Q50&gt;0,"Ahorro por ruta compartida","Sin ahorro: recorrido equivalente")</x:f>
        <x:v>Ahorro por ruta compartida</x:v>
      </x:c>
    </x:row>
    <x:row r="51">
      <x:c r="A51" s="1" t="str">
        <x:v>PL-20260517-Z1</x:v>
      </x:c>
      <x:c r="B51" s="1" t="str">
        <x:v>2026-05-17</x:v>
      </x:c>
      <x:c r="C51" s="1" t="str">
        <x:v>Z1</x:v>
      </x:c>
      <x:c r="D51" s="1" t="str">
        <x:v>La Ceiba</x:v>
      </x:c>
      <x:c r="E51" s="1" t="str">
        <x:v>R001</x:v>
      </x:c>
      <x:c r="F51" s="1" t="str">
        <x:v>Carlos Mejía</x:v>
      </x:c>
      <x:c r="G51" s="1" t="str">
        <x:v>V001</x:v>
      </x:c>
      <x:c r="H51" s="1" t="n">
        <x:v>2</x:v>
      </x:c>
      <x:c r="I51" s="1" t="str">
        <x:v>RT-20260517-R001</x:v>
      </x:c>
      <x:c r="J51" s="1" t="n">
        <x:v>1</x:v>
      </x:c>
      <x:c r="K51" s="5" t="n">
        <x:f>SUM(Rutas_Base!T69,Rutas_Base!W69)</x:f>
        <x:v>0</x:v>
      </x:c>
      <x:c r="L51" s="5" t="n">
        <x:f>2*MAX(Parametros_Operacion!$B$6)</x:f>
        <x:v>0</x:v>
      </x:c>
      <x:c r="M51" s="5" t="n">
        <x:f>SUM(Rutas_Base!U69)</x:f>
        <x:v>10.11</x:v>
      </x:c>
      <x:c r="N51" s="5" t="n">
        <x:f>SUM(Rutas_Base!V69)</x:f>
        <x:v>10.11</x:v>
      </x:c>
      <x:c r="O51" s="5" t="n">
        <x:f>SUM(Rutas_Base!H69)</x:f>
        <x:v>10.11</x:v>
      </x:c>
      <x:c r="P51" s="5" t="n">
        <x:f>ROUND(L51+N51,2)</x:f>
        <x:v>10.11</x:v>
      </x:c>
      <x:c r="Q51" s="5" t="n">
        <x:f>ROUND(O51-P51,2)</x:f>
        <x:v>0</x:v>
      </x:c>
      <x:c r="R51" s="5" t="n">
        <x:f>SUM(Rutas_Base!L69)</x:f>
        <x:v>35.04</x:v>
      </x:c>
      <x:c r="S51" s="5" t="n">
        <x:f>ROUND(P51/Vehiculos!$E$2*Vehiculos!$F$2,2)</x:f>
        <x:v>35.04</x:v>
      </x:c>
      <x:c r="T51" s="5" t="n">
        <x:f>ROUND(R51-S51,2)</x:f>
        <x:v>0</x:v>
      </x:c>
      <x:c r="U51" s="5" t="n">
        <x:f>SUM(Rutas_Base!O69)</x:f>
        <x:v>28</x:v>
      </x:c>
      <x:c r="V51" s="5" t="n">
        <x:f>ROUND(P51/Vehiculos!$G$2*60+H51*8,0)</x:f>
        <x:v>28</x:v>
      </x:c>
      <x:c r="W51" s="5" t="n">
        <x:f>U51-V51</x:f>
        <x:v>0</x:v>
      </x:c>
      <x:c r="X51" s="1" t="n">
        <x:f>Vehiculos!$D$2</x:f>
        <x:v>12</x:v>
      </x:c>
      <x:c r="Y51" s="1" t="str">
        <x:f>IF(H51&lt;=X51,"Sí","No")</x:f>
        <x:v>Sí</x:v>
      </x:c>
      <x:c r="Z51" s="1" t="str">
        <x:f>IF(V51&lt;=Parametros_Operacion!$H$13,"Sí","No")</x:f>
        <x:v>Sí</x:v>
      </x:c>
      <x:c r="AA51" s="1" t="str">
        <x:f>IF(Q51&gt;0,"Ahorro por ruta compartida","Sin ahorro: recorrido equivalente")</x:f>
        <x:v>Sin ahorro: recorrido equivalente</x:v>
      </x:c>
    </x:row>
    <x:row r="52">
      <x:c r="A52" s="1" t="str">
        <x:v>PL-20260517-Z2</x:v>
      </x:c>
      <x:c r="B52" s="1" t="str">
        <x:v>2026-05-17</x:v>
      </x:c>
      <x:c r="C52" s="1" t="str">
        <x:v>Z2</x:v>
      </x:c>
      <x:c r="D52" s="1" t="str">
        <x:v>San Francisco</x:v>
      </x:c>
      <x:c r="E52" s="1" t="str">
        <x:v>R004</x:v>
      </x:c>
      <x:c r="F52" s="1" t="str">
        <x:v>Daniela Cruz</x:v>
      </x:c>
      <x:c r="G52" s="1" t="str">
        <x:v>V004</x:v>
      </x:c>
      <x:c r="H52" s="1" t="n">
        <x:v>1</x:v>
      </x:c>
      <x:c r="I52" s="1" t="str">
        <x:v>RT-20260517-R005</x:v>
      </x:c>
      <x:c r="J52" s="1" t="n">
        <x:v>1</x:v>
      </x:c>
      <x:c r="K52" s="5" t="n">
        <x:f>SUM(Rutas_Base!T71,Rutas_Base!W71)</x:f>
        <x:v>70</x:v>
      </x:c>
      <x:c r="L52" s="5" t="n">
        <x:f>2*MAX(Parametros_Operacion!$B$8)</x:f>
        <x:v>70</x:v>
      </x:c>
      <x:c r="M52" s="5" t="n">
        <x:f>SUM(Rutas_Base!U71)</x:f>
        <x:v>2.58</x:v>
      </x:c>
      <x:c r="N52" s="5" t="n">
        <x:f>SUM(Rutas_Base!V71)</x:f>
        <x:v>2.58</x:v>
      </x:c>
      <x:c r="O52" s="5" t="n">
        <x:f>SUM(Rutas_Base!H71)</x:f>
        <x:v>72.58</x:v>
      </x:c>
      <x:c r="P52" s="5" t="n">
        <x:f>ROUND(L52+N52,2)</x:f>
        <x:v>72.58</x:v>
      </x:c>
      <x:c r="Q52" s="5" t="n">
        <x:f>ROUND(O52-P52,2)</x:f>
        <x:v>0</x:v>
      </x:c>
      <x:c r="R52" s="5" t="n">
        <x:f>SUM(Rutas_Base!L71)</x:f>
        <x:v>345.89</x:v>
      </x:c>
      <x:c r="S52" s="5" t="n">
        <x:f>ROUND(P52/Vehiculos!$E$5*Vehiculos!$F$5,2)</x:f>
        <x:v>263.54</x:v>
      </x:c>
      <x:c r="T52" s="5" t="n">
        <x:f>ROUND(R52-S52,2)</x:f>
        <x:v>82.35</x:v>
      </x:c>
      <x:c r="U52" s="5" t="n">
        <x:f>SUM(Rutas_Base!O71)</x:f>
        <x:v>109</x:v>
      </x:c>
      <x:c r="V52" s="5" t="n">
        <x:f>ROUND(P52/Vehiculos!$G$5*60+H52*8,0)</x:f>
        <x:v>97</x:v>
      </x:c>
      <x:c r="W52" s="5" t="n">
        <x:f>U52-V52</x:f>
        <x:v>12</x:v>
      </x:c>
      <x:c r="X52" s="1" t="n">
        <x:f>Vehiculos!$D$5</x:f>
        <x:v>12</x:v>
      </x:c>
      <x:c r="Y52" s="1" t="str">
        <x:f>IF(H52&lt;=X52,"Sí","No")</x:f>
        <x:v>Sí</x:v>
      </x:c>
      <x:c r="Z52" s="1" t="str">
        <x:f>IF(V52&lt;=Parametros_Operacion!$H$13,"Sí","No")</x:f>
        <x:v>Sí</x:v>
      </x:c>
      <x:c r="AA52" s="1" t="str">
        <x:f>IF(Q52&gt;0,"Ahorro por ruta compartida","Sin ahorro: recorrido equivalente")</x:f>
        <x:v>Sin ahorro: recorrido equivalente</x:v>
      </x:c>
    </x:row>
    <x:row r="53">
      <x:c r="A53" s="1" t="str">
        <x:v>PL-20260517-Z3</x:v>
      </x:c>
      <x:c r="B53" s="1" t="str">
        <x:v>2026-05-17</x:v>
      </x:c>
      <x:c r="C53" s="1" t="str">
        <x:v>Z3</x:v>
      </x:c>
      <x:c r="D53" s="1" t="str">
        <x:v>La Masica + Esparta</x:v>
      </x:c>
      <x:c r="E53" s="1" t="str">
        <x:v>R007</x:v>
      </x:c>
      <x:c r="F53" s="1" t="str">
        <x:v>María Hernández</x:v>
      </x:c>
      <x:c r="G53" s="1" t="str">
        <x:v>V007</x:v>
      </x:c>
      <x:c r="H53" s="1" t="n">
        <x:v>5</x:v>
      </x:c>
      <x:c r="I53" s="1" t="str">
        <x:v>RT-20260517-R004 + RT-20260517-R007</x:v>
      </x:c>
      <x:c r="J53" s="1" t="n">
        <x:v>2</x:v>
      </x:c>
      <x:c r="K53" s="5" t="n">
        <x:f>SUM(Rutas_Base!T70,Rutas_Base!W70,Rutas_Base!T73,Rutas_Base!W73)</x:f>
        <x:v>233.4</x:v>
      </x:c>
      <x:c r="L53" s="5" t="n">
        <x:f>2*MAX(Parametros_Operacion!$B$7,Parametros_Operacion!$B$4)</x:f>
        <x:v>151</x:v>
      </x:c>
      <x:c r="M53" s="5" t="n">
        <x:f>SUM(Rutas_Base!U70,Rutas_Base!U73)</x:f>
        <x:v>20.01</x:v>
      </x:c>
      <x:c r="N53" s="5" t="n">
        <x:f>SUM(Rutas_Base!V70,Rutas_Base!V73)</x:f>
        <x:v>20</x:v>
      </x:c>
      <x:c r="O53" s="5" t="n">
        <x:f>SUM(Rutas_Base!H70,Rutas_Base!H73)</x:f>
        <x:v>253.41000000000003</x:v>
      </x:c>
      <x:c r="P53" s="5" t="n">
        <x:f>ROUND(L53+N53,2)</x:f>
        <x:v>171</x:v>
      </x:c>
      <x:c r="Q53" s="5" t="n">
        <x:f>ROUND(O53-P53,2)</x:f>
        <x:v>82.41</x:v>
      </x:c>
      <x:c r="R53" s="5" t="n">
        <x:f>SUM(Rutas_Base!L70,Rutas_Base!L73)</x:f>
        <x:v>949.3500000000001</x:v>
      </x:c>
      <x:c r="S53" s="5" t="n">
        <x:f>ROUND(P53/Vehiculos!$E$8*Vehiculos!$F$8,2)</x:f>
        <x:v>651.94</x:v>
      </x:c>
      <x:c r="T53" s="5" t="n">
        <x:f>ROUND(R53-S53,2)</x:f>
        <x:v>297.41</x:v>
      </x:c>
      <x:c r="U53" s="5" t="n">
        <x:f>SUM(Rutas_Base!O70,Rutas_Base!O73)</x:f>
        <x:v>363</x:v>
      </x:c>
      <x:c r="V53" s="5" t="n">
        <x:f>ROUND(P53/Vehiculos!$G$8*60+H53*8,0)</x:f>
        <x:v>263</x:v>
      </x:c>
      <x:c r="W53" s="5" t="n">
        <x:f>U53-V53</x:f>
        <x:v>100</x:v>
      </x:c>
      <x:c r="X53" s="1" t="n">
        <x:f>Vehiculos!$D$8</x:f>
        <x:v>12</x:v>
      </x:c>
      <x:c r="Y53" s="1" t="str">
        <x:f>IF(H53&lt;=X53,"Sí","No")</x:f>
        <x:v>Sí</x:v>
      </x:c>
      <x:c r="Z53" s="1" t="str">
        <x:f>IF(V53&lt;=Parametros_Operacion!$H$13,"Sí","No")</x:f>
        <x:v>Sí</x:v>
      </x:c>
      <x:c r="AA53" s="1" t="str">
        <x:f>IF(Q53&gt;0,"Ahorro por ruta compartida","Sin ahorro: recorrido equivalente")</x:f>
        <x:v>Ahorro por ruta compartida</x:v>
      </x:c>
    </x:row>
    <x:row r="54">
      <x:c r="A54" s="1" t="str">
        <x:v>PL-20260517-Z4</x:v>
      </x:c>
      <x:c r="B54" s="1" t="str">
        <x:v>2026-05-17</x:v>
      </x:c>
      <x:c r="C54" s="1" t="str">
        <x:v>Z4</x:v>
      </x:c>
      <x:c r="D54" s="1" t="str">
        <x:v>Arizona</x:v>
      </x:c>
      <x:c r="E54" s="1" t="str">
        <x:v>R002</x:v>
      </x:c>
      <x:c r="F54" s="1" t="str">
        <x:v>Ana López</x:v>
      </x:c>
      <x:c r="G54" s="1" t="str">
        <x:v>V002</x:v>
      </x:c>
      <x:c r="H54" s="1" t="n">
        <x:v>2</x:v>
      </x:c>
      <x:c r="I54" s="1" t="str">
        <x:v>RT-20260517-R006</x:v>
      </x:c>
      <x:c r="J54" s="1" t="n">
        <x:v>1</x:v>
      </x:c>
      <x:c r="K54" s="5" t="n">
        <x:f>SUM(Rutas_Base!T72,Rutas_Base!W72)</x:f>
        <x:v>145</x:v>
      </x:c>
      <x:c r="L54" s="5" t="n">
        <x:f>2*MAX(Parametros_Operacion!$B$2)</x:f>
        <x:v>145</x:v>
      </x:c>
      <x:c r="M54" s="5" t="n">
        <x:f>SUM(Rutas_Base!U72)</x:f>
        <x:v>21</x:v>
      </x:c>
      <x:c r="N54" s="5" t="n">
        <x:f>SUM(Rutas_Base!V72)</x:f>
        <x:v>21</x:v>
      </x:c>
      <x:c r="O54" s="5" t="n">
        <x:f>SUM(Rutas_Base!H72)</x:f>
        <x:v>166</x:v>
      </x:c>
      <x:c r="P54" s="5" t="n">
        <x:f>ROUND(L54+N54,2)</x:f>
        <x:v>166</x:v>
      </x:c>
      <x:c r="Q54" s="5" t="n">
        <x:f>ROUND(O54-P54,2)</x:f>
        <x:v>0</x:v>
      </x:c>
      <x:c r="R54" s="5" t="n">
        <x:f>SUM(Rutas_Base!L72)</x:f>
        <x:v>632.88</x:v>
      </x:c>
      <x:c r="S54" s="5" t="n">
        <x:f>ROUND(P54/Vehiculos!$E$3*Vehiculos!$F$3,2)</x:f>
        <x:v>602.74</x:v>
      </x:c>
      <x:c r="T54" s="5" t="n">
        <x:f>ROUND(R54-S54,2)</x:f>
        <x:v>30.14</x:v>
      </x:c>
      <x:c r="U54" s="5" t="n">
        <x:f>SUM(Rutas_Base!O72)</x:f>
        <x:v>228</x:v>
      </x:c>
      <x:c r="V54" s="5" t="n">
        <x:f>ROUND(P54/Vehiculos!$G$3*60+H54*8,0)</x:f>
        <x:v>224</x:v>
      </x:c>
      <x:c r="W54" s="5" t="n">
        <x:f>U54-V54</x:f>
        <x:v>4</x:v>
      </x:c>
      <x:c r="X54" s="1" t="n">
        <x:f>Vehiculos!$D$3</x:f>
        <x:v>12</x:v>
      </x:c>
      <x:c r="Y54" s="1" t="str">
        <x:f>IF(H54&lt;=X54,"Sí","No")</x:f>
        <x:v>Sí</x:v>
      </x:c>
      <x:c r="Z54" s="1" t="str">
        <x:f>IF(V54&lt;=Parametros_Operacion!$H$13,"Sí","No")</x:f>
        <x:v>Sí</x:v>
      </x:c>
      <x:c r="AA54" s="1" t="str">
        <x:f>IF(Q54&gt;0,"Ahorro por ruta compartida","Sin ahorro: recorrido equivalente")</x:f>
        <x:v>Sin ahorro: recorrido equivalente</x:v>
      </x:c>
    </x:row>
    <x:row r="55">
      <x:c r="A55" s="1" t="str">
        <x:v>PL-20260518-Z1</x:v>
      </x:c>
      <x:c r="B55" s="1" t="str">
        <x:v>2026-05-18</x:v>
      </x:c>
      <x:c r="C55" s="1" t="str">
        <x:v>Z1</x:v>
      </x:c>
      <x:c r="D55" s="1" t="str">
        <x:v>Jutiapa</x:v>
      </x:c>
      <x:c r="E55" s="1" t="str">
        <x:v>R001</x:v>
      </x:c>
      <x:c r="F55" s="1" t="str">
        <x:v>Carlos Mejía</x:v>
      </x:c>
      <x:c r="G55" s="1" t="str">
        <x:v>V001</x:v>
      </x:c>
      <x:c r="H55" s="1" t="n">
        <x:v>1</x:v>
      </x:c>
      <x:c r="I55" s="1" t="str">
        <x:v>RT-20260518-R003</x:v>
      </x:c>
      <x:c r="J55" s="1" t="n">
        <x:v>1</x:v>
      </x:c>
      <x:c r="K55" s="5" t="n">
        <x:f>SUM(Rutas_Base!T75,Rutas_Base!W75)</x:f>
        <x:v>62.8</x:v>
      </x:c>
      <x:c r="L55" s="5" t="n">
        <x:f>2*MAX(Parametros_Operacion!$B$5)</x:f>
        <x:v>62.8</x:v>
      </x:c>
      <x:c r="M55" s="5" t="n">
        <x:f>SUM(Rutas_Base!U75)</x:f>
        <x:v>5.24</x:v>
      </x:c>
      <x:c r="N55" s="5" t="n">
        <x:f>SUM(Rutas_Base!V75)</x:f>
        <x:v>5.24</x:v>
      </x:c>
      <x:c r="O55" s="5" t="n">
        <x:f>SUM(Rutas_Base!H75)</x:f>
        <x:v>68.04</x:v>
      </x:c>
      <x:c r="P55" s="5" t="n">
        <x:f>ROUND(L55+N55,2)</x:f>
        <x:v>68.04</x:v>
      </x:c>
      <x:c r="Q55" s="5" t="n">
        <x:f>ROUND(O55-P55,2)</x:f>
        <x:v>0</x:v>
      </x:c>
      <x:c r="R55" s="5" t="n">
        <x:f>SUM(Rutas_Base!L75)</x:f>
        <x:v>259.4</x:v>
      </x:c>
      <x:c r="S55" s="5" t="n">
        <x:f>ROUND(P55/Vehiculos!$E$2*Vehiculos!$F$2,2)</x:f>
        <x:v>235.82</x:v>
      </x:c>
      <x:c r="T55" s="5" t="n">
        <x:f>ROUND(R55-S55,2)</x:f>
        <x:v>23.58</x:v>
      </x:c>
      <x:c r="U55" s="5" t="n">
        <x:f>SUM(Rutas_Base!O75)</x:f>
        <x:v>95</x:v>
      </x:c>
      <x:c r="V55" s="5" t="n">
        <x:f>ROUND(P55/Vehiculos!$G$2*60+H55*8,0)</x:f>
        <x:v>90</x:v>
      </x:c>
      <x:c r="W55" s="5" t="n">
        <x:f>U55-V55</x:f>
        <x:v>5</x:v>
      </x:c>
      <x:c r="X55" s="1" t="n">
        <x:f>Vehiculos!$D$2</x:f>
        <x:v>12</x:v>
      </x:c>
      <x:c r="Y55" s="1" t="str">
        <x:f>IF(H55&lt;=X55,"Sí","No")</x:f>
        <x:v>Sí</x:v>
      </x:c>
      <x:c r="Z55" s="1" t="str">
        <x:f>IF(V55&lt;=Parametros_Operacion!$H$13,"Sí","No")</x:f>
        <x:v>Sí</x:v>
      </x:c>
      <x:c r="AA55" s="1" t="str">
        <x:f>IF(Q55&gt;0,"Ahorro por ruta compartida","Sin ahorro: recorrido equivalente")</x:f>
        <x:v>Sin ahorro: recorrido equivalente</x:v>
      </x:c>
    </x:row>
    <x:row r="56">
      <x:c r="A56" s="1" t="str">
        <x:v>PL-20260518-Z3</x:v>
      </x:c>
      <x:c r="B56" s="1" t="str">
        <x:v>2026-05-18</x:v>
      </x:c>
      <x:c r="C56" s="1" t="str">
        <x:v>Z3</x:v>
      </x:c>
      <x:c r="D56" s="1" t="str">
        <x:v>La Masica + Esparta</x:v>
      </x:c>
      <x:c r="E56" s="1" t="str">
        <x:v>R007</x:v>
      </x:c>
      <x:c r="F56" s="1" t="str">
        <x:v>María Hernández</x:v>
      </x:c>
      <x:c r="G56" s="1" t="str">
        <x:v>V007</x:v>
      </x:c>
      <x:c r="H56" s="1" t="n">
        <x:v>3</x:v>
      </x:c>
      <x:c r="I56" s="1" t="str">
        <x:v>RT-20260518-R004 + RT-20260518-R007</x:v>
      </x:c>
      <x:c r="J56" s="1" t="n">
        <x:v>2</x:v>
      </x:c>
      <x:c r="K56" s="5" t="n">
        <x:f>SUM(Rutas_Base!T76,Rutas_Base!W76,Rutas_Base!T77,Rutas_Base!W77)</x:f>
        <x:v>233.4</x:v>
      </x:c>
      <x:c r="L56" s="5" t="n">
        <x:f>2*MAX(Parametros_Operacion!$B$7,Parametros_Operacion!$B$4)</x:f>
        <x:v>151</x:v>
      </x:c>
      <x:c r="M56" s="5" t="n">
        <x:f>SUM(Rutas_Base!U76,Rutas_Base!U77)</x:f>
        <x:v>17.509999999999998</x:v>
      </x:c>
      <x:c r="N56" s="5" t="n">
        <x:f>SUM(Rutas_Base!V76,Rutas_Base!V77)</x:f>
        <x:v>17.509999999999998</x:v>
      </x:c>
      <x:c r="O56" s="5" t="n">
        <x:f>SUM(Rutas_Base!H76,Rutas_Base!H77)</x:f>
        <x:v>250.91</x:v>
      </x:c>
      <x:c r="P56" s="5" t="n">
        <x:f>ROUND(L56+N56,2)</x:f>
        <x:v>168.51</x:v>
      </x:c>
      <x:c r="Q56" s="5" t="n">
        <x:f>ROUND(O56-P56,2)</x:f>
        <x:v>82.4</x:v>
      </x:c>
      <x:c r="R56" s="5" t="n">
        <x:f>SUM(Rutas_Base!L76,Rutas_Base!L77)</x:f>
        <x:v>939.8800000000001</x:v>
      </x:c>
      <x:c r="S56" s="5" t="n">
        <x:f>ROUND(P56/Vehiculos!$E$8*Vehiculos!$F$8,2)</x:f>
        <x:v>642.45</x:v>
      </x:c>
      <x:c r="T56" s="5" t="n">
        <x:f>ROUND(R56-S56,2)</x:f>
        <x:v>297.43</x:v>
      </x:c>
      <x:c r="U56" s="5" t="n">
        <x:f>SUM(Rutas_Base!O76,Rutas_Base!O77)</x:f>
        <x:v>344</x:v>
      </x:c>
      <x:c r="V56" s="5" t="n">
        <x:f>ROUND(P56/Vehiculos!$G$8*60+H56*8,0)</x:f>
        <x:v>244</x:v>
      </x:c>
      <x:c r="W56" s="5" t="n">
        <x:f>U56-V56</x:f>
        <x:v>100</x:v>
      </x:c>
      <x:c r="X56" s="1" t="n">
        <x:f>Vehiculos!$D$8</x:f>
        <x:v>12</x:v>
      </x:c>
      <x:c r="Y56" s="1" t="str">
        <x:f>IF(H56&lt;=X56,"Sí","No")</x:f>
        <x:v>Sí</x:v>
      </x:c>
      <x:c r="Z56" s="1" t="str">
        <x:f>IF(V56&lt;=Parametros_Operacion!$H$13,"Sí","No")</x:f>
        <x:v>Sí</x:v>
      </x:c>
      <x:c r="AA56" s="1" t="str">
        <x:f>IF(Q56&gt;0,"Ahorro por ruta compartida","Sin ahorro: recorrido equivalente")</x:f>
        <x:v>Ahorro por ruta compartida</x:v>
      </x:c>
    </x:row>
    <x:row r="57">
      <x:c r="A57" s="1" t="str">
        <x:v>PL-20260518-Z4</x:v>
      </x:c>
      <x:c r="B57" s="1" t="str">
        <x:v>2026-05-18</x:v>
      </x:c>
      <x:c r="C57" s="1" t="str">
        <x:v>Z4</x:v>
      </x:c>
      <x:c r="D57" s="1" t="str">
        <x:v>Tela</x:v>
      </x:c>
      <x:c r="E57" s="1" t="str">
        <x:v>R002</x:v>
      </x:c>
      <x:c r="F57" s="1" t="str">
        <x:v>Ana López</x:v>
      </x:c>
      <x:c r="G57" s="1" t="str">
        <x:v>V002</x:v>
      </x:c>
      <x:c r="H57" s="1" t="n">
        <x:v>2</x:v>
      </x:c>
      <x:c r="I57" s="1" t="str">
        <x:v>RT-20260518-R002</x:v>
      </x:c>
      <x:c r="J57" s="1" t="n">
        <x:v>1</x:v>
      </x:c>
      <x:c r="K57" s="5" t="n">
        <x:f>SUM(Rutas_Base!T74,Rutas_Base!W74)</x:f>
        <x:v>204.6</x:v>
      </x:c>
      <x:c r="L57" s="5" t="n">
        <x:f>2*MAX(Parametros_Operacion!$B$9)</x:f>
        <x:v>204.6</x:v>
      </x:c>
      <x:c r="M57" s="5" t="n">
        <x:f>SUM(Rutas_Base!U74)</x:f>
        <x:v>13.51</x:v>
      </x:c>
      <x:c r="N57" s="5" t="n">
        <x:f>SUM(Rutas_Base!V74)</x:f>
        <x:v>13.51</x:v>
      </x:c>
      <x:c r="O57" s="5" t="n">
        <x:f>SUM(Rutas_Base!H74)</x:f>
        <x:v>218.11</x:v>
      </x:c>
      <x:c r="P57" s="5" t="n">
        <x:f>ROUND(L57+N57,2)</x:f>
        <x:v>218.11</x:v>
      </x:c>
      <x:c r="Q57" s="5" t="n">
        <x:f>ROUND(O57-P57,2)</x:f>
        <x:v>0</x:v>
      </x:c>
      <x:c r="R57" s="5" t="n">
        <x:f>SUM(Rutas_Base!L74)</x:f>
        <x:v>791.96</x:v>
      </x:c>
      <x:c r="S57" s="5" t="n">
        <x:f>ROUND(P57/Vehiculos!$E$3*Vehiculos!$F$3,2)</x:f>
        <x:v>791.95</x:v>
      </x:c>
      <x:c r="T57" s="5" t="n">
        <x:f>ROUND(R57-S57,2)</x:f>
        <x:v>0.01</x:v>
      </x:c>
      <x:c r="U57" s="5" t="n">
        <x:f>SUM(Rutas_Base!O74)</x:f>
        <x:v>289</x:v>
      </x:c>
      <x:c r="V57" s="5" t="n">
        <x:f>ROUND(P57/Vehiculos!$G$3*60+H57*8,0)</x:f>
        <x:v>289</x:v>
      </x:c>
      <x:c r="W57" s="5" t="n">
        <x:f>U57-V57</x:f>
        <x:v>0</x:v>
      </x:c>
      <x:c r="X57" s="1" t="n">
        <x:f>Vehiculos!$D$3</x:f>
        <x:v>12</x:v>
      </x:c>
      <x:c r="Y57" s="1" t="str">
        <x:f>IF(H57&lt;=X57,"Sí","No")</x:f>
        <x:v>Sí</x:v>
      </x:c>
      <x:c r="Z57" s="1" t="str">
        <x:f>IF(V57&lt;=Parametros_Operacion!$H$13,"Sí","No")</x:f>
        <x:v>Sí</x:v>
      </x:c>
      <x:c r="AA57" s="1" t="str">
        <x:f>IF(Q57&gt;0,"Ahorro por ruta compartida","Sin ahorro: recorrido equivalente")</x:f>
        <x:v>Sin ahorro: recorrido equivalente</x:v>
      </x:c>
    </x:row>
    <x:row r="58">
      <x:c r="A58" s="1" t="str">
        <x:v>PL-20260519-Z1</x:v>
      </x:c>
      <x:c r="B58" s="1" t="str">
        <x:v>2026-05-19</x:v>
      </x:c>
      <x:c r="C58" s="1" t="str">
        <x:v>Z1</x:v>
      </x:c>
      <x:c r="D58" s="1" t="str">
        <x:v>La Ceiba + Jutiapa</x:v>
      </x:c>
      <x:c r="E58" s="1" t="str">
        <x:v>R001</x:v>
      </x:c>
      <x:c r="F58" s="1" t="str">
        <x:v>Carlos Mejía</x:v>
      </x:c>
      <x:c r="G58" s="1" t="str">
        <x:v>V001</x:v>
      </x:c>
      <x:c r="H58" s="1" t="n">
        <x:v>2</x:v>
      </x:c>
      <x:c r="I58" s="1" t="str">
        <x:v>RT-20260519-R001 + RT-20260519-R003</x:v>
      </x:c>
      <x:c r="J58" s="1" t="n">
        <x:v>2</x:v>
      </x:c>
      <x:c r="K58" s="5" t="n">
        <x:f>SUM(Rutas_Base!T78,Rutas_Base!W78,Rutas_Base!T80,Rutas_Base!W80)</x:f>
        <x:v>62.8</x:v>
      </x:c>
      <x:c r="L58" s="5" t="n">
        <x:f>2*MAX(Parametros_Operacion!$B$6,Parametros_Operacion!$B$5)</x:f>
        <x:v>62.8</x:v>
      </x:c>
      <x:c r="M58" s="5" t="n">
        <x:f>SUM(Rutas_Base!U78,Rutas_Base!U80)</x:f>
        <x:v>16.740000000000002</x:v>
      </x:c>
      <x:c r="N58" s="5" t="n">
        <x:f>SUM(Rutas_Base!V78,Rutas_Base!V80)</x:f>
        <x:v>16.740000000000002</x:v>
      </x:c>
      <x:c r="O58" s="5" t="n">
        <x:f>SUM(Rutas_Base!H78,Rutas_Base!H80)</x:f>
        <x:v>79.54</x:v>
      </x:c>
      <x:c r="P58" s="5" t="n">
        <x:f>ROUND(L58+N58,2)</x:f>
        <x:v>79.54</x:v>
      </x:c>
      <x:c r="Q58" s="5" t="n">
        <x:f>ROUND(O58-P58,2)</x:f>
        <x:v>0</x:v>
      </x:c>
      <x:c r="R58" s="5" t="n">
        <x:f>SUM(Rutas_Base!L78,Rutas_Base!L80)</x:f>
        <x:v>301.52</x:v>
      </x:c>
      <x:c r="S58" s="5" t="n">
        <x:f>ROUND(P58/Vehiculos!$E$2*Vehiculos!$F$2,2)</x:f>
        <x:v>275.68</x:v>
      </x:c>
      <x:c r="T58" s="5" t="n">
        <x:f>ROUND(R58-S58,2)</x:f>
        <x:v>25.84</x:v>
      </x:c>
      <x:c r="U58" s="5" t="n">
        <x:f>SUM(Rutas_Base!O78,Rutas_Base!O80)</x:f>
        <x:v>117</x:v>
      </x:c>
      <x:c r="V58" s="5" t="n">
        <x:f>ROUND(P58/Vehiculos!$G$2*60+H58*8,0)</x:f>
        <x:v>111</x:v>
      </x:c>
      <x:c r="W58" s="5" t="n">
        <x:f>U58-V58</x:f>
        <x:v>6</x:v>
      </x:c>
      <x:c r="X58" s="1" t="n">
        <x:f>Vehiculos!$D$2</x:f>
        <x:v>12</x:v>
      </x:c>
      <x:c r="Y58" s="1" t="str">
        <x:f>IF(H58&lt;=X58,"Sí","No")</x:f>
        <x:v>Sí</x:v>
      </x:c>
      <x:c r="Z58" s="1" t="str">
        <x:f>IF(V58&lt;=Parametros_Operacion!$H$13,"Sí","No")</x:f>
        <x:v>Sí</x:v>
      </x:c>
      <x:c r="AA58" s="1" t="str">
        <x:f>IF(Q58&gt;0,"Ahorro por ruta compartida","Sin ahorro: recorrido equivalente")</x:f>
        <x:v>Sin ahorro: recorrido equivalente</x:v>
      </x:c>
    </x:row>
    <x:row r="59">
      <x:c r="A59" s="1" t="str">
        <x:v>PL-20260519-Z2</x:v>
      </x:c>
      <x:c r="B59" s="1" t="str">
        <x:v>2026-05-19</x:v>
      </x:c>
      <x:c r="C59" s="1" t="str">
        <x:v>Z2</x:v>
      </x:c>
      <x:c r="D59" s="1" t="str">
        <x:v>El Porvenir + San Francisco</x:v>
      </x:c>
      <x:c r="E59" s="1" t="str">
        <x:v>R004</x:v>
      </x:c>
      <x:c r="F59" s="1" t="str">
        <x:v>Daniela Cruz</x:v>
      </x:c>
      <x:c r="G59" s="1" t="str">
        <x:v>V004</x:v>
      </x:c>
      <x:c r="H59" s="1" t="n">
        <x:v>2</x:v>
      </x:c>
      <x:c r="I59" s="1" t="str">
        <x:v>RT-20260519-R008 + RT-20260519-R005</x:v>
      </x:c>
      <x:c r="J59" s="1" t="n">
        <x:v>2</x:v>
      </x:c>
      <x:c r="K59" s="5" t="n">
        <x:f>SUM(Rutas_Base!T84,Rutas_Base!W84,Rutas_Base!T82,Rutas_Base!W82)</x:f>
        <x:v>103</x:v>
      </x:c>
      <x:c r="L59" s="5" t="n">
        <x:f>2*MAX(Parametros_Operacion!$B$3,Parametros_Operacion!$B$8)</x:f>
        <x:v>70</x:v>
      </x:c>
      <x:c r="M59" s="5" t="n">
        <x:f>SUM(Rutas_Base!U84,Rutas_Base!U82)</x:f>
        <x:v>11.36</x:v>
      </x:c>
      <x:c r="N59" s="5" t="n">
        <x:f>SUM(Rutas_Base!V84,Rutas_Base!V82)</x:f>
        <x:v>11.36</x:v>
      </x:c>
      <x:c r="O59" s="5" t="n">
        <x:f>SUM(Rutas_Base!H84,Rutas_Base!H82)</x:f>
        <x:v>114.36000000000001</x:v>
      </x:c>
      <x:c r="P59" s="5" t="n">
        <x:f>ROUND(L59+N59,2)</x:f>
        <x:v>81.36</x:v>
      </x:c>
      <x:c r="Q59" s="5" t="n">
        <x:f>ROUND(O59-P59,2)</x:f>
        <x:v>33</x:v>
      </x:c>
      <x:c r="R59" s="5" t="n">
        <x:f>SUM(Rutas_Base!L84,Rutas_Base!L82)</x:f>
        <x:v>557.17</x:v>
      </x:c>
      <x:c r="S59" s="5" t="n">
        <x:f>ROUND(P59/Vehiculos!$E$5*Vehiculos!$F$5,2)</x:f>
        <x:v>295.42</x:v>
      </x:c>
      <x:c r="T59" s="5" t="n">
        <x:f>ROUND(R59-S59,2)</x:f>
        <x:v>261.75</x:v>
      </x:c>
      <x:c r="U59" s="5" t="n">
        <x:f>SUM(Rutas_Base!O84,Rutas_Base!O82)</x:f>
        <x:v>177</x:v>
      </x:c>
      <x:c r="V59" s="5" t="n">
        <x:f>ROUND(P59/Vehiculos!$G$5*60+H59*8,0)</x:f>
        <x:v>116</x:v>
      </x:c>
      <x:c r="W59" s="5" t="n">
        <x:f>U59-V59</x:f>
        <x:v>61</x:v>
      </x:c>
      <x:c r="X59" s="1" t="n">
        <x:f>Vehiculos!$D$5</x:f>
        <x:v>12</x:v>
      </x:c>
      <x:c r="Y59" s="1" t="str">
        <x:f>IF(H59&lt;=X59,"Sí","No")</x:f>
        <x:v>Sí</x:v>
      </x:c>
      <x:c r="Z59" s="1" t="str">
        <x:f>IF(V59&lt;=Parametros_Operacion!$H$13,"Sí","No")</x:f>
        <x:v>Sí</x:v>
      </x:c>
      <x:c r="AA59" s="1" t="str">
        <x:f>IF(Q59&gt;0,"Ahorro por ruta compartida","Sin ahorro: recorrido equivalente")</x:f>
        <x:v>Ahorro por ruta compartida</x:v>
      </x:c>
    </x:row>
    <x:row r="60">
      <x:c r="A60" s="1" t="str">
        <x:v>PL-20260519-Z3</x:v>
      </x:c>
      <x:c r="B60" s="1" t="str">
        <x:v>2026-05-19</x:v>
      </x:c>
      <x:c r="C60" s="1" t="str">
        <x:v>Z3</x:v>
      </x:c>
      <x:c r="D60" s="1" t="str">
        <x:v>La Masica</x:v>
      </x:c>
      <x:c r="E60" s="1" t="str">
        <x:v>R007</x:v>
      </x:c>
      <x:c r="F60" s="1" t="str">
        <x:v>María Hernández</x:v>
      </x:c>
      <x:c r="G60" s="1" t="str">
        <x:v>V007</x:v>
      </x:c>
      <x:c r="H60" s="1" t="n">
        <x:v>1</x:v>
      </x:c>
      <x:c r="I60" s="1" t="str">
        <x:v>RT-20260519-R004</x:v>
      </x:c>
      <x:c r="J60" s="1" t="n">
        <x:v>1</x:v>
      </x:c>
      <x:c r="K60" s="5" t="n">
        <x:f>SUM(Rutas_Base!T81,Rutas_Base!W81)</x:f>
        <x:v>82.4</x:v>
      </x:c>
      <x:c r="L60" s="5" t="n">
        <x:f>2*MAX(Parametros_Operacion!$B$7)</x:f>
        <x:v>82.4</x:v>
      </x:c>
      <x:c r="M60" s="5" t="n">
        <x:f>SUM(Rutas_Base!U81)</x:f>
        <x:v>5.22</x:v>
      </x:c>
      <x:c r="N60" s="5" t="n">
        <x:f>SUM(Rutas_Base!V81)</x:f>
        <x:v>5.22</x:v>
      </x:c>
      <x:c r="O60" s="5" t="n">
        <x:f>SUM(Rutas_Base!H81)</x:f>
        <x:v>87.62</x:v>
      </x:c>
      <x:c r="P60" s="5" t="n">
        <x:f>ROUND(L60+N60,2)</x:f>
        <x:v>87.62</x:v>
      </x:c>
      <x:c r="Q60" s="5" t="n">
        <x:f>ROUND(O60-P60,2)</x:f>
        <x:v>0</x:v>
      </x:c>
      <x:c r="R60" s="5" t="n">
        <x:f>SUM(Rutas_Base!L81)</x:f>
        <x:v>318.15</x:v>
      </x:c>
      <x:c r="S60" s="5" t="n">
        <x:f>ROUND(P60/Vehiculos!$E$8*Vehiculos!$F$8,2)</x:f>
        <x:v>334.05</x:v>
      </x:c>
      <x:c r="T60" s="5" t="n">
        <x:f>ROUND(R60-S60,2)</x:f>
        <x:v>-15.9</x:v>
      </x:c>
      <x:c r="U60" s="5" t="n">
        <x:f>SUM(Rutas_Base!O81)</x:f>
        <x:v>115</x:v>
      </x:c>
      <x:c r="V60" s="5" t="n">
        <x:f>ROUND(P60/Vehiculos!$G$8*60+H60*8,0)</x:f>
        <x:v>122</x:v>
      </x:c>
      <x:c r="W60" s="5" t="n">
        <x:f>U60-V60</x:f>
        <x:v>-7</x:v>
      </x:c>
      <x:c r="X60" s="1" t="n">
        <x:f>Vehiculos!$D$8</x:f>
        <x:v>12</x:v>
      </x:c>
      <x:c r="Y60" s="1" t="str">
        <x:f>IF(H60&lt;=X60,"Sí","No")</x:f>
        <x:v>Sí</x:v>
      </x:c>
      <x:c r="Z60" s="1" t="str">
        <x:f>IF(V60&lt;=Parametros_Operacion!$H$13,"Sí","No")</x:f>
        <x:v>Sí</x:v>
      </x:c>
      <x:c r="AA60" s="1" t="str">
        <x:f>IF(Q60&gt;0,"Ahorro por ruta compartida","Sin ahorro: recorrido equivalente")</x:f>
        <x:v>Sin ahorro: recorrido equivalente</x:v>
      </x:c>
    </x:row>
    <x:row r="61">
      <x:c r="A61" s="1" t="str">
        <x:v>PL-20260519-Z4</x:v>
      </x:c>
      <x:c r="B61" s="1" t="str">
        <x:v>2026-05-19</x:v>
      </x:c>
      <x:c r="C61" s="1" t="str">
        <x:v>Z4</x:v>
      </x:c>
      <x:c r="D61" s="1" t="str">
        <x:v>Arizona + Tela</x:v>
      </x:c>
      <x:c r="E61" s="1" t="str">
        <x:v>R002</x:v>
      </x:c>
      <x:c r="F61" s="1" t="str">
        <x:v>Ana López</x:v>
      </x:c>
      <x:c r="G61" s="1" t="str">
        <x:v>V002</x:v>
      </x:c>
      <x:c r="H61" s="1" t="n">
        <x:v>3</x:v>
      </x:c>
      <x:c r="I61" s="1" t="str">
        <x:v>RT-20260519-R006 + RT-20260519-R002</x:v>
      </x:c>
      <x:c r="J61" s="1" t="n">
        <x:v>2</x:v>
      </x:c>
      <x:c r="K61" s="5" t="n">
        <x:f>SUM(Rutas_Base!T83,Rutas_Base!W83,Rutas_Base!T79,Rutas_Base!W79)</x:f>
        <x:v>349.6</x:v>
      </x:c>
      <x:c r="L61" s="5" t="n">
        <x:f>2*MAX(Parametros_Operacion!$B$2,Parametros_Operacion!$B$9)</x:f>
        <x:v>204.6</x:v>
      </x:c>
      <x:c r="M61" s="5" t="n">
        <x:f>SUM(Rutas_Base!U83,Rutas_Base!U79)</x:f>
        <x:v>16.009999999999998</x:v>
      </x:c>
      <x:c r="N61" s="5" t="n">
        <x:f>SUM(Rutas_Base!V83,Rutas_Base!V79)</x:f>
        <x:v>16.009999999999998</x:v>
      </x:c>
      <x:c r="O61" s="5" t="n">
        <x:f>SUM(Rutas_Base!H83,Rutas_Base!H79)</x:f>
        <x:v>365.61</x:v>
      </x:c>
      <x:c r="P61" s="5" t="n">
        <x:f>ROUND(L61+N61,2)</x:f>
        <x:v>220.61</x:v>
      </x:c>
      <x:c r="Q61" s="5" t="n">
        <x:f>ROUND(O61-P61,2)</x:f>
        <x:v>145</x:v>
      </x:c>
      <x:c r="R61" s="5" t="n">
        <x:f>SUM(Rutas_Base!L83,Rutas_Base!L79)</x:f>
        <x:v>1355.2399999999998</x:v>
      </x:c>
      <x:c r="S61" s="5" t="n">
        <x:f>ROUND(P61/Vehiculos!$E$3*Vehiculos!$F$3,2)</x:f>
        <x:v>801.03</x:v>
      </x:c>
      <x:c r="T61" s="5" t="n">
        <x:f>ROUND(R61-S61,2)</x:f>
        <x:v>554.21</x:v>
      </x:c>
      <x:c r="U61" s="5" t="n">
        <x:f>SUM(Rutas_Base!O83,Rutas_Base!O79)</x:f>
        <x:v>485</x:v>
      </x:c>
      <x:c r="V61" s="5" t="n">
        <x:f>ROUND(P61/Vehiculos!$G$3*60+H61*8,0)</x:f>
        <x:v>300</x:v>
      </x:c>
      <x:c r="W61" s="5" t="n">
        <x:f>U61-V61</x:f>
        <x:v>185</x:v>
      </x:c>
      <x:c r="X61" s="1" t="n">
        <x:f>Vehiculos!$D$3</x:f>
        <x:v>12</x:v>
      </x:c>
      <x:c r="Y61" s="1" t="str">
        <x:f>IF(H61&lt;=X61,"Sí","No")</x:f>
        <x:v>Sí</x:v>
      </x:c>
      <x:c r="Z61" s="1" t="str">
        <x:f>IF(V61&lt;=Parametros_Operacion!$H$13,"Sí","No")</x:f>
        <x:v>Sí</x:v>
      </x:c>
      <x:c r="AA61" s="1" t="str">
        <x:f>IF(Q61&gt;0,"Ahorro por ruta compartida","Sin ahorro: recorrido equivalente")</x:f>
        <x:v>Ahorro por ruta compartida</x:v>
      </x:c>
    </x:row>
    <x:row r="62">
      <x:c r="A62" s="1" t="str">
        <x:v>PL-20260520-Z1</x:v>
      </x:c>
      <x:c r="B62" s="1" t="str">
        <x:v>2026-05-20</x:v>
      </x:c>
      <x:c r="C62" s="1" t="str">
        <x:v>Z1</x:v>
      </x:c>
      <x:c r="D62" s="1" t="str">
        <x:v>La Ceiba</x:v>
      </x:c>
      <x:c r="E62" s="1" t="str">
        <x:v>R001</x:v>
      </x:c>
      <x:c r="F62" s="1" t="str">
        <x:v>Carlos Mejía</x:v>
      </x:c>
      <x:c r="G62" s="1" t="str">
        <x:v>V001</x:v>
      </x:c>
      <x:c r="H62" s="1" t="n">
        <x:v>2</x:v>
      </x:c>
      <x:c r="I62" s="1" t="str">
        <x:v>RT-20260520-R001</x:v>
      </x:c>
      <x:c r="J62" s="1" t="n">
        <x:v>1</x:v>
      </x:c>
      <x:c r="K62" s="5" t="n">
        <x:f>SUM(Rutas_Base!T85,Rutas_Base!W85)</x:f>
        <x:v>0</x:v>
      </x:c>
      <x:c r="L62" s="5" t="n">
        <x:f>2*MAX(Parametros_Operacion!$B$6)</x:f>
        <x:v>0</x:v>
      </x:c>
      <x:c r="M62" s="5" t="n">
        <x:f>SUM(Rutas_Base!U85)</x:f>
        <x:v>19.94</x:v>
      </x:c>
      <x:c r="N62" s="5" t="n">
        <x:f>SUM(Rutas_Base!V85)</x:f>
        <x:v>19.94</x:v>
      </x:c>
      <x:c r="O62" s="5" t="n">
        <x:f>SUM(Rutas_Base!H85)</x:f>
        <x:v>19.94</x:v>
      </x:c>
      <x:c r="P62" s="5" t="n">
        <x:f>ROUND(L62+N62,2)</x:f>
        <x:v>19.94</x:v>
      </x:c>
      <x:c r="Q62" s="5" t="n">
        <x:f>ROUND(O62-P62,2)</x:f>
        <x:v>0</x:v>
      </x:c>
      <x:c r="R62" s="5" t="n">
        <x:f>SUM(Rutas_Base!L85)</x:f>
        <x:v>69.11</x:v>
      </x:c>
      <x:c r="S62" s="5" t="n">
        <x:f>ROUND(P62/Vehiculos!$E$2*Vehiculos!$F$2,2)</x:f>
        <x:v>69.11</x:v>
      </x:c>
      <x:c r="T62" s="5" t="n">
        <x:f>ROUND(R62-S62,2)</x:f>
        <x:v>0</x:v>
      </x:c>
      <x:c r="U62" s="5" t="n">
        <x:f>SUM(Rutas_Base!O85)</x:f>
        <x:v>40</x:v>
      </x:c>
      <x:c r="V62" s="5" t="n">
        <x:f>ROUND(P62/Vehiculos!$G$2*60+H62*8,0)</x:f>
        <x:v>40</x:v>
      </x:c>
      <x:c r="W62" s="5" t="n">
        <x:f>U62-V62</x:f>
        <x:v>0</x:v>
      </x:c>
      <x:c r="X62" s="1" t="n">
        <x:f>Vehiculos!$D$2</x:f>
        <x:v>12</x:v>
      </x:c>
      <x:c r="Y62" s="1" t="str">
        <x:f>IF(H62&lt;=X62,"Sí","No")</x:f>
        <x:v>Sí</x:v>
      </x:c>
      <x:c r="Z62" s="1" t="str">
        <x:f>IF(V62&lt;=Parametros_Operacion!$H$13,"Sí","No")</x:f>
        <x:v>Sí</x:v>
      </x:c>
      <x:c r="AA62" s="1" t="str">
        <x:f>IF(Q62&gt;0,"Ahorro por ruta compartida","Sin ahorro: recorrido equivalente")</x:f>
        <x:v>Sin ahorro: recorrido equivalente</x:v>
      </x:c>
    </x:row>
    <x:row r="63">
      <x:c r="A63" s="1" t="str">
        <x:v>PL-20260520-Z2</x:v>
      </x:c>
      <x:c r="B63" s="1" t="str">
        <x:v>2026-05-20</x:v>
      </x:c>
      <x:c r="C63" s="1" t="str">
        <x:v>Z2</x:v>
      </x:c>
      <x:c r="D63" s="1" t="str">
        <x:v>El Porvenir</x:v>
      </x:c>
      <x:c r="E63" s="1" t="str">
        <x:v>R004</x:v>
      </x:c>
      <x:c r="F63" s="1" t="str">
        <x:v>Daniela Cruz</x:v>
      </x:c>
      <x:c r="G63" s="1" t="str">
        <x:v>V004</x:v>
      </x:c>
      <x:c r="H63" s="1" t="n">
        <x:v>2</x:v>
      </x:c>
      <x:c r="I63" s="1" t="str">
        <x:v>RT-20260520-R008</x:v>
      </x:c>
      <x:c r="J63" s="1" t="n">
        <x:v>1</x:v>
      </x:c>
      <x:c r="K63" s="5" t="n">
        <x:f>SUM(Rutas_Base!T89,Rutas_Base!W89)</x:f>
        <x:v>33</x:v>
      </x:c>
      <x:c r="L63" s="5" t="n">
        <x:f>2*MAX(Parametros_Operacion!$B$3)</x:f>
        <x:v>33</x:v>
      </x:c>
      <x:c r="M63" s="5" t="n">
        <x:f>SUM(Rutas_Base!U89)</x:f>
        <x:v>10.91</x:v>
      </x:c>
      <x:c r="N63" s="5" t="n">
        <x:f>SUM(Rutas_Base!V89)</x:f>
        <x:v>10.91</x:v>
      </x:c>
      <x:c r="O63" s="5" t="n">
        <x:f>SUM(Rutas_Base!H89)</x:f>
        <x:v>43.91</x:v>
      </x:c>
      <x:c r="P63" s="5" t="n">
        <x:f>ROUND(L63+N63,2)</x:f>
        <x:v>43.91</x:v>
      </x:c>
      <x:c r="Q63" s="5" t="n">
        <x:f>ROUND(O63-P63,2)</x:f>
        <x:v>0</x:v>
      </x:c>
      <x:c r="R63" s="5" t="n">
        <x:f>SUM(Rutas_Base!L89)</x:f>
        <x:v>223.21</x:v>
      </x:c>
      <x:c r="S63" s="5" t="n">
        <x:f>ROUND(P63/Vehiculos!$E$5*Vehiculos!$F$5,2)</x:f>
        <x:v>159.44</x:v>
      </x:c>
      <x:c r="T63" s="5" t="n">
        <x:f>ROUND(R63-S63,2)</x:f>
        <x:v>63.77</x:v>
      </x:c>
      <x:c r="U63" s="5" t="n">
        <x:f>SUM(Rutas_Base!O89)</x:f>
        <x:v>79</x:v>
      </x:c>
      <x:c r="V63" s="5" t="n">
        <x:f>ROUND(P63/Vehiculos!$G$5*60+H63*8,0)</x:f>
        <x:v>70</x:v>
      </x:c>
      <x:c r="W63" s="5" t="n">
        <x:f>U63-V63</x:f>
        <x:v>9</x:v>
      </x:c>
      <x:c r="X63" s="1" t="n">
        <x:f>Vehiculos!$D$5</x:f>
        <x:v>12</x:v>
      </x:c>
      <x:c r="Y63" s="1" t="str">
        <x:f>IF(H63&lt;=X63,"Sí","No")</x:f>
        <x:v>Sí</x:v>
      </x:c>
      <x:c r="Z63" s="1" t="str">
        <x:f>IF(V63&lt;=Parametros_Operacion!$H$13,"Sí","No")</x:f>
        <x:v>Sí</x:v>
      </x:c>
      <x:c r="AA63" s="1" t="str">
        <x:f>IF(Q63&gt;0,"Ahorro por ruta compartida","Sin ahorro: recorrido equivalente")</x:f>
        <x:v>Sin ahorro: recorrido equivalente</x:v>
      </x:c>
    </x:row>
    <x:row r="64">
      <x:c r="A64" s="1" t="str">
        <x:v>PL-20260520-Z3</x:v>
      </x:c>
      <x:c r="B64" s="1" t="str">
        <x:v>2026-05-20</x:v>
      </x:c>
      <x:c r="C64" s="1" t="str">
        <x:v>Z3</x:v>
      </x:c>
      <x:c r="D64" s="1" t="str">
        <x:v>La Masica + Esparta</x:v>
      </x:c>
      <x:c r="E64" s="1" t="str">
        <x:v>R007</x:v>
      </x:c>
      <x:c r="F64" s="1" t="str">
        <x:v>María Hernández</x:v>
      </x:c>
      <x:c r="G64" s="1" t="str">
        <x:v>V007</x:v>
      </x:c>
      <x:c r="H64" s="1" t="n">
        <x:v>5</x:v>
      </x:c>
      <x:c r="I64" s="1" t="str">
        <x:v>RT-20260520-R004 + RT-20260520-R007</x:v>
      </x:c>
      <x:c r="J64" s="1" t="n">
        <x:v>2</x:v>
      </x:c>
      <x:c r="K64" s="5" t="n">
        <x:f>SUM(Rutas_Base!T86,Rutas_Base!W86,Rutas_Base!T88,Rutas_Base!W88)</x:f>
        <x:v>233.4</x:v>
      </x:c>
      <x:c r="L64" s="5" t="n">
        <x:f>2*MAX(Parametros_Operacion!$B$7,Parametros_Operacion!$B$4)</x:f>
        <x:v>151</x:v>
      </x:c>
      <x:c r="M64" s="5" t="n">
        <x:f>SUM(Rutas_Base!U86,Rutas_Base!U88)</x:f>
        <x:v>33.07</x:v>
      </x:c>
      <x:c r="N64" s="5" t="n">
        <x:f>SUM(Rutas_Base!V86,Rutas_Base!V88)</x:f>
        <x:v>21.73</x:v>
      </x:c>
      <x:c r="O64" s="5" t="n">
        <x:f>SUM(Rutas_Base!H86,Rutas_Base!H88)</x:f>
        <x:v>266.47</x:v>
      </x:c>
      <x:c r="P64" s="5" t="n">
        <x:f>ROUND(L64+N64,2)</x:f>
        <x:v>172.73</x:v>
      </x:c>
      <x:c r="Q64" s="5" t="n">
        <x:f>ROUND(O64-P64,2)</x:f>
        <x:v>93.74</x:v>
      </x:c>
      <x:c r="R64" s="5" t="n">
        <x:f>SUM(Rutas_Base!L86,Rutas_Base!L88)</x:f>
        <x:v>995.8399999999999</x:v>
      </x:c>
      <x:c r="S64" s="5" t="n">
        <x:f>ROUND(P64/Vehiculos!$E$8*Vehiculos!$F$8,2)</x:f>
        <x:v>658.54</x:v>
      </x:c>
      <x:c r="T64" s="5" t="n">
        <x:f>ROUND(R64-S64,2)</x:f>
        <x:v>337.3</x:v>
      </x:c>
      <x:c r="U64" s="5" t="n">
        <x:f>SUM(Rutas_Base!O86,Rutas_Base!O88)</x:f>
        <x:v>378</x:v>
      </x:c>
      <x:c r="V64" s="5" t="n">
        <x:f>ROUND(P64/Vehiculos!$G$8*60+H64*8,0)</x:f>
        <x:v>265</x:v>
      </x:c>
      <x:c r="W64" s="5" t="n">
        <x:f>U64-V64</x:f>
        <x:v>113</x:v>
      </x:c>
      <x:c r="X64" s="1" t="n">
        <x:f>Vehiculos!$D$8</x:f>
        <x:v>12</x:v>
      </x:c>
      <x:c r="Y64" s="1" t="str">
        <x:f>IF(H64&lt;=X64,"Sí","No")</x:f>
        <x:v>Sí</x:v>
      </x:c>
      <x:c r="Z64" s="1" t="str">
        <x:f>IF(V64&lt;=Parametros_Operacion!$H$13,"Sí","No")</x:f>
        <x:v>Sí</x:v>
      </x:c>
      <x:c r="AA64" s="1" t="str">
        <x:f>IF(Q64&gt;0,"Ahorro por ruta compartida","Sin ahorro: recorrido equivalente")</x:f>
        <x:v>Ahorro por ruta compartida</x:v>
      </x:c>
    </x:row>
    <x:row r="65">
      <x:c r="A65" s="1" t="str">
        <x:v>PL-20260520-Z4</x:v>
      </x:c>
      <x:c r="B65" s="1" t="str">
        <x:v>2026-05-20</x:v>
      </x:c>
      <x:c r="C65" s="1" t="str">
        <x:v>Z4</x:v>
      </x:c>
      <x:c r="D65" s="1" t="str">
        <x:v>Arizona</x:v>
      </x:c>
      <x:c r="E65" s="1" t="str">
        <x:v>R002</x:v>
      </x:c>
      <x:c r="F65" s="1" t="str">
        <x:v>Ana López</x:v>
      </x:c>
      <x:c r="G65" s="1" t="str">
        <x:v>V002</x:v>
      </x:c>
      <x:c r="H65" s="1" t="n">
        <x:v>2</x:v>
      </x:c>
      <x:c r="I65" s="1" t="str">
        <x:v>RT-20260520-R006</x:v>
      </x:c>
      <x:c r="J65" s="1" t="n">
        <x:v>1</x:v>
      </x:c>
      <x:c r="K65" s="5" t="n">
        <x:f>SUM(Rutas_Base!T87,Rutas_Base!W87)</x:f>
        <x:v>145</x:v>
      </x:c>
      <x:c r="L65" s="5" t="n">
        <x:f>2*MAX(Parametros_Operacion!$B$2)</x:f>
        <x:v>145</x:v>
      </x:c>
      <x:c r="M65" s="5" t="n">
        <x:f>SUM(Rutas_Base!U87)</x:f>
        <x:v>8.46</x:v>
      </x:c>
      <x:c r="N65" s="5" t="n">
        <x:f>SUM(Rutas_Base!V87)</x:f>
        <x:v>8.46</x:v>
      </x:c>
      <x:c r="O65" s="5" t="n">
        <x:f>SUM(Rutas_Base!H87)</x:f>
        <x:v>153.46</x:v>
      </x:c>
      <x:c r="P65" s="5" t="n">
        <x:f>ROUND(L65+N65,2)</x:f>
        <x:v>153.46</x:v>
      </x:c>
      <x:c r="Q65" s="5" t="n">
        <x:f>ROUND(O65-P65,2)</x:f>
        <x:v>0</x:v>
      </x:c>
      <x:c r="R65" s="5" t="n">
        <x:f>SUM(Rutas_Base!L87)</x:f>
        <x:v>585.08</x:v>
      </x:c>
      <x:c r="S65" s="5" t="n">
        <x:f>ROUND(P65/Vehiculos!$E$3*Vehiculos!$F$3,2)</x:f>
        <x:v>557.21</x:v>
      </x:c>
      <x:c r="T65" s="5" t="n">
        <x:f>ROUND(R65-S65,2)</x:f>
        <x:v>27.87</x:v>
      </x:c>
      <x:c r="U65" s="5" t="n">
        <x:f>SUM(Rutas_Base!O87)</x:f>
        <x:v>212</x:v>
      </x:c>
      <x:c r="V65" s="5" t="n">
        <x:f>ROUND(P65/Vehiculos!$G$3*60+H65*8,0)</x:f>
        <x:v>208</x:v>
      </x:c>
      <x:c r="W65" s="5" t="n">
        <x:f>U65-V65</x:f>
        <x:v>4</x:v>
      </x:c>
      <x:c r="X65" s="1" t="n">
        <x:f>Vehiculos!$D$3</x:f>
        <x:v>12</x:v>
      </x:c>
      <x:c r="Y65" s="1" t="str">
        <x:f>IF(H65&lt;=X65,"Sí","No")</x:f>
        <x:v>Sí</x:v>
      </x:c>
      <x:c r="Z65" s="1" t="str">
        <x:f>IF(V65&lt;=Parametros_Operacion!$H$13,"Sí","No")</x:f>
        <x:v>Sí</x:v>
      </x:c>
      <x:c r="AA65" s="1" t="str">
        <x:f>IF(Q65&gt;0,"Ahorro por ruta compartida","Sin ahorro: recorrido equivalente")</x:f>
        <x:v>Sin ahorro: recorrido equivalente</x:v>
      </x:c>
    </x:row>
    <x:row r="66">
      <x:c r="A66" s="1" t="str">
        <x:v>PL-20260521-Z1</x:v>
      </x:c>
      <x:c r="B66" s="1" t="str">
        <x:v>2026-05-21</x:v>
      </x:c>
      <x:c r="C66" s="1" t="str">
        <x:v>Z1</x:v>
      </x:c>
      <x:c r="D66" s="1" t="str">
        <x:v>Jutiapa</x:v>
      </x:c>
      <x:c r="E66" s="1" t="str">
        <x:v>R001</x:v>
      </x:c>
      <x:c r="F66" s="1" t="str">
        <x:v>Carlos Mejía</x:v>
      </x:c>
      <x:c r="G66" s="1" t="str">
        <x:v>V001</x:v>
      </x:c>
      <x:c r="H66" s="1" t="n">
        <x:v>1</x:v>
      </x:c>
      <x:c r="I66" s="1" t="str">
        <x:v>RT-20260521-R003</x:v>
      </x:c>
      <x:c r="J66" s="1" t="n">
        <x:v>1</x:v>
      </x:c>
      <x:c r="K66" s="5" t="n">
        <x:f>SUM(Rutas_Base!T91,Rutas_Base!W91)</x:f>
        <x:v>62.8</x:v>
      </x:c>
      <x:c r="L66" s="5" t="n">
        <x:f>2*MAX(Parametros_Operacion!$B$5)</x:f>
        <x:v>62.8</x:v>
      </x:c>
      <x:c r="M66" s="5" t="n">
        <x:f>SUM(Rutas_Base!U91)</x:f>
        <x:v>5.24</x:v>
      </x:c>
      <x:c r="N66" s="5" t="n">
        <x:f>SUM(Rutas_Base!V91)</x:f>
        <x:v>5.24</x:v>
      </x:c>
      <x:c r="O66" s="5" t="n">
        <x:f>SUM(Rutas_Base!H91)</x:f>
        <x:v>68.04</x:v>
      </x:c>
      <x:c r="P66" s="5" t="n">
        <x:f>ROUND(L66+N66,2)</x:f>
        <x:v>68.04</x:v>
      </x:c>
      <x:c r="Q66" s="5" t="n">
        <x:f>ROUND(O66-P66,2)</x:f>
        <x:v>0</x:v>
      </x:c>
      <x:c r="R66" s="5" t="n">
        <x:f>SUM(Rutas_Base!L91)</x:f>
        <x:v>259.4</x:v>
      </x:c>
      <x:c r="S66" s="5" t="n">
        <x:f>ROUND(P66/Vehiculos!$E$2*Vehiculos!$F$2,2)</x:f>
        <x:v>235.82</x:v>
      </x:c>
      <x:c r="T66" s="5" t="n">
        <x:f>ROUND(R66-S66,2)</x:f>
        <x:v>23.58</x:v>
      </x:c>
      <x:c r="U66" s="5" t="n">
        <x:f>SUM(Rutas_Base!O91)</x:f>
        <x:v>95</x:v>
      </x:c>
      <x:c r="V66" s="5" t="n">
        <x:f>ROUND(P66/Vehiculos!$G$2*60+H66*8,0)</x:f>
        <x:v>90</x:v>
      </x:c>
      <x:c r="W66" s="5" t="n">
        <x:f>U66-V66</x:f>
        <x:v>5</x:v>
      </x:c>
      <x:c r="X66" s="1" t="n">
        <x:f>Vehiculos!$D$2</x:f>
        <x:v>12</x:v>
      </x:c>
      <x:c r="Y66" s="1" t="str">
        <x:f>IF(H66&lt;=X66,"Sí","No")</x:f>
        <x:v>Sí</x:v>
      </x:c>
      <x:c r="Z66" s="1" t="str">
        <x:f>IF(V66&lt;=Parametros_Operacion!$H$13,"Sí","No")</x:f>
        <x:v>Sí</x:v>
      </x:c>
      <x:c r="AA66" s="1" t="str">
        <x:f>IF(Q66&gt;0,"Ahorro por ruta compartida","Sin ahorro: recorrido equivalente")</x:f>
        <x:v>Sin ahorro: recorrido equivalente</x:v>
      </x:c>
    </x:row>
    <x:row r="67">
      <x:c r="A67" s="1" t="str">
        <x:v>PL-20260521-Z3</x:v>
      </x:c>
      <x:c r="B67" s="1" t="str">
        <x:v>2026-05-21</x:v>
      </x:c>
      <x:c r="C67" s="1" t="str">
        <x:v>Z3</x:v>
      </x:c>
      <x:c r="D67" s="1" t="str">
        <x:v>La Masica + Esparta</x:v>
      </x:c>
      <x:c r="E67" s="1" t="str">
        <x:v>R007</x:v>
      </x:c>
      <x:c r="F67" s="1" t="str">
        <x:v>María Hernández</x:v>
      </x:c>
      <x:c r="G67" s="1" t="str">
        <x:v>V007</x:v>
      </x:c>
      <x:c r="H67" s="1" t="n">
        <x:v>5</x:v>
      </x:c>
      <x:c r="I67" s="1" t="str">
        <x:v>RT-20260521-R004 + RT-20260521-R007</x:v>
      </x:c>
      <x:c r="J67" s="1" t="n">
        <x:v>2</x:v>
      </x:c>
      <x:c r="K67" s="5" t="n">
        <x:f>SUM(Rutas_Base!T92,Rutas_Base!W92,Rutas_Base!T94,Rutas_Base!W94)</x:f>
        <x:v>233.4</x:v>
      </x:c>
      <x:c r="L67" s="5" t="n">
        <x:f>2*MAX(Parametros_Operacion!$B$7,Parametros_Operacion!$B$4)</x:f>
        <x:v>151</x:v>
      </x:c>
      <x:c r="M67" s="5" t="n">
        <x:f>SUM(Rutas_Base!U92,Rutas_Base!U94)</x:f>
        <x:v>27.18</x:v>
      </x:c>
      <x:c r="N67" s="5" t="n">
        <x:f>SUM(Rutas_Base!V92,Rutas_Base!V94)</x:f>
        <x:v>27.09</x:v>
      </x:c>
      <x:c r="O67" s="5" t="n">
        <x:f>SUM(Rutas_Base!H92,Rutas_Base!H94)</x:f>
        <x:v>260.58000000000004</x:v>
      </x:c>
      <x:c r="P67" s="5" t="n">
        <x:f>ROUND(L67+N67,2)</x:f>
        <x:v>178.09</x:v>
      </x:c>
      <x:c r="Q67" s="5" t="n">
        <x:f>ROUND(O67-P67,2)</x:f>
        <x:v>82.49</x:v>
      </x:c>
      <x:c r="R67" s="5" t="n">
        <x:f>SUM(Rutas_Base!L92,Rutas_Base!L94)</x:f>
        <x:v>975.3599999999999</x:v>
      </x:c>
      <x:c r="S67" s="5" t="n">
        <x:f>ROUND(P67/Vehiculos!$E$8*Vehiculos!$F$8,2)</x:f>
        <x:v>678.97</x:v>
      </x:c>
      <x:c r="T67" s="5" t="n">
        <x:f>ROUND(R67-S67,2)</x:f>
        <x:v>296.39</x:v>
      </x:c>
      <x:c r="U67" s="5" t="n">
        <x:f>SUM(Rutas_Base!O92,Rutas_Base!O94)</x:f>
        <x:v>372</x:v>
      </x:c>
      <x:c r="V67" s="5" t="n">
        <x:f>ROUND(P67/Vehiculos!$G$8*60+H67*8,0)</x:f>
        <x:v>272</x:v>
      </x:c>
      <x:c r="W67" s="5" t="n">
        <x:f>U67-V67</x:f>
        <x:v>100</x:v>
      </x:c>
      <x:c r="X67" s="1" t="n">
        <x:f>Vehiculos!$D$8</x:f>
        <x:v>12</x:v>
      </x:c>
      <x:c r="Y67" s="1" t="str">
        <x:f>IF(H67&lt;=X67,"Sí","No")</x:f>
        <x:v>Sí</x:v>
      </x:c>
      <x:c r="Z67" s="1" t="str">
        <x:f>IF(V67&lt;=Parametros_Operacion!$H$13,"Sí","No")</x:f>
        <x:v>Sí</x:v>
      </x:c>
      <x:c r="AA67" s="1" t="str">
        <x:f>IF(Q67&gt;0,"Ahorro por ruta compartida","Sin ahorro: recorrido equivalente")</x:f>
        <x:v>Ahorro por ruta compartida</x:v>
      </x:c>
    </x:row>
    <x:row r="68">
      <x:c r="A68" s="1" t="str">
        <x:v>PL-20260521-Z4</x:v>
      </x:c>
      <x:c r="B68" s="1" t="str">
        <x:v>2026-05-21</x:v>
      </x:c>
      <x:c r="C68" s="1" t="str">
        <x:v>Z4</x:v>
      </x:c>
      <x:c r="D68" s="1" t="str">
        <x:v>Arizona + Tela</x:v>
      </x:c>
      <x:c r="E68" s="1" t="str">
        <x:v>R002</x:v>
      </x:c>
      <x:c r="F68" s="1" t="str">
        <x:v>Ana López</x:v>
      </x:c>
      <x:c r="G68" s="1" t="str">
        <x:v>V002</x:v>
      </x:c>
      <x:c r="H68" s="1" t="n">
        <x:v>3</x:v>
      </x:c>
      <x:c r="I68" s="1" t="str">
        <x:v>RT-20260521-R006 + RT-20260521-R002</x:v>
      </x:c>
      <x:c r="J68" s="1" t="n">
        <x:v>2</x:v>
      </x:c>
      <x:c r="K68" s="5" t="n">
        <x:f>SUM(Rutas_Base!T93,Rutas_Base!W93,Rutas_Base!T90,Rutas_Base!W90)</x:f>
        <x:v>349.6</x:v>
      </x:c>
      <x:c r="L68" s="5" t="n">
        <x:f>2*MAX(Parametros_Operacion!$B$2,Parametros_Operacion!$B$9)</x:f>
        <x:v>204.6</x:v>
      </x:c>
      <x:c r="M68" s="5" t="n">
        <x:f>SUM(Rutas_Base!U93,Rutas_Base!U90)</x:f>
        <x:v>20.36</x:v>
      </x:c>
      <x:c r="N68" s="5" t="n">
        <x:f>SUM(Rutas_Base!V93,Rutas_Base!V90)</x:f>
        <x:v>20.36</x:v>
      </x:c>
      <x:c r="O68" s="5" t="n">
        <x:f>SUM(Rutas_Base!H93,Rutas_Base!H90)</x:f>
        <x:v>369.96000000000004</x:v>
      </x:c>
      <x:c r="P68" s="5" t="n">
        <x:f>ROUND(L68+N68,2)</x:f>
        <x:v>224.96</x:v>
      </x:c>
      <x:c r="Q68" s="5" t="n">
        <x:f>ROUND(O68-P68,2)</x:f>
        <x:v>145</x:v>
      </x:c>
      <x:c r="R68" s="5" t="n">
        <x:f>SUM(Rutas_Base!L93,Rutas_Base!L90)</x:f>
        <x:v>1371.3000000000002</x:v>
      </x:c>
      <x:c r="S68" s="5" t="n">
        <x:f>ROUND(P68/Vehiculos!$E$3*Vehiculos!$F$3,2)</x:f>
        <x:v>816.83</x:v>
      </x:c>
      <x:c r="T68" s="5" t="n">
        <x:f>ROUND(R68-S68,2)</x:f>
        <x:v>554.47</x:v>
      </x:c>
      <x:c r="U68" s="5" t="n">
        <x:f>SUM(Rutas_Base!O93,Rutas_Base!O90)</x:f>
        <x:v>491</x:v>
      </x:c>
      <x:c r="V68" s="5" t="n">
        <x:f>ROUND(P68/Vehiculos!$G$3*60+H68*8,0)</x:f>
        <x:v>305</x:v>
      </x:c>
      <x:c r="W68" s="5" t="n">
        <x:f>U68-V68</x:f>
        <x:v>186</x:v>
      </x:c>
      <x:c r="X68" s="1" t="n">
        <x:f>Vehiculos!$D$3</x:f>
        <x:v>12</x:v>
      </x:c>
      <x:c r="Y68" s="1" t="str">
        <x:f>IF(H68&lt;=X68,"Sí","No")</x:f>
        <x:v>Sí</x:v>
      </x:c>
      <x:c r="Z68" s="1" t="str">
        <x:f>IF(V68&lt;=Parametros_Operacion!$H$13,"Sí","No")</x:f>
        <x:v>Sí</x:v>
      </x:c>
      <x:c r="AA68" s="1" t="str">
        <x:f>IF(Q68&gt;0,"Ahorro por ruta compartida","Sin ahorro: recorrido equivalente")</x:f>
        <x:v>Ahorro por ruta compartida</x:v>
      </x:c>
    </x:row>
    <x:row r="69">
      <x:c r="A69" s="1" t="str">
        <x:v>PL-20260522-Z3</x:v>
      </x:c>
      <x:c r="B69" s="1" t="str">
        <x:v>2026-05-22</x:v>
      </x:c>
      <x:c r="C69" s="1" t="str">
        <x:v>Z3</x:v>
      </x:c>
      <x:c r="D69" s="1" t="str">
        <x:v>La Masica</x:v>
      </x:c>
      <x:c r="E69" s="1" t="str">
        <x:v>R007</x:v>
      </x:c>
      <x:c r="F69" s="1" t="str">
        <x:v>María Hernández</x:v>
      </x:c>
      <x:c r="G69" s="1" t="str">
        <x:v>V007</x:v>
      </x:c>
      <x:c r="H69" s="1" t="n">
        <x:v>1</x:v>
      </x:c>
      <x:c r="I69" s="1" t="str">
        <x:v>RT-20260522-R004</x:v>
      </x:c>
      <x:c r="J69" s="1" t="n">
        <x:v>1</x:v>
      </x:c>
      <x:c r="K69" s="5" t="n">
        <x:f>SUM(Rutas_Base!T96,Rutas_Base!W96)</x:f>
        <x:v>82.4</x:v>
      </x:c>
      <x:c r="L69" s="5" t="n">
        <x:f>2*MAX(Parametros_Operacion!$B$7)</x:f>
        <x:v>82.4</x:v>
      </x:c>
      <x:c r="M69" s="5" t="n">
        <x:f>SUM(Rutas_Base!U96)</x:f>
        <x:v>9.16</x:v>
      </x:c>
      <x:c r="N69" s="5" t="n">
        <x:f>SUM(Rutas_Base!V96)</x:f>
        <x:v>9.16</x:v>
      </x:c>
      <x:c r="O69" s="5" t="n">
        <x:f>SUM(Rutas_Base!H96)</x:f>
        <x:v>91.56</x:v>
      </x:c>
      <x:c r="P69" s="5" t="n">
        <x:f>ROUND(L69+N69,2)</x:f>
        <x:v>91.56</x:v>
      </x:c>
      <x:c r="Q69" s="5" t="n">
        <x:f>ROUND(O69-P69,2)</x:f>
        <x:v>0</x:v>
      </x:c>
      <x:c r="R69" s="5" t="n">
        <x:f>SUM(Rutas_Base!L96)</x:f>
        <x:v>332.45</x:v>
      </x:c>
      <x:c r="S69" s="5" t="n">
        <x:f>ROUND(P69/Vehiculos!$E$8*Vehiculos!$F$8,2)</x:f>
        <x:v>349.08</x:v>
      </x:c>
      <x:c r="T69" s="5" t="n">
        <x:f>ROUND(R69-S69,2)</x:f>
        <x:v>-16.63</x:v>
      </x:c>
      <x:c r="U69" s="5" t="n">
        <x:f>SUM(Rutas_Base!O96)</x:f>
        <x:v>120</x:v>
      </x:c>
      <x:c r="V69" s="5" t="n">
        <x:f>ROUND(P69/Vehiculos!$G$8*60+H69*8,0)</x:f>
        <x:v>127</x:v>
      </x:c>
      <x:c r="W69" s="5" t="n">
        <x:f>U69-V69</x:f>
        <x:v>-7</x:v>
      </x:c>
      <x:c r="X69" s="1" t="n">
        <x:f>Vehiculos!$D$8</x:f>
        <x:v>12</x:v>
      </x:c>
      <x:c r="Y69" s="1" t="str">
        <x:f>IF(H69&lt;=X69,"Sí","No")</x:f>
        <x:v>Sí</x:v>
      </x:c>
      <x:c r="Z69" s="1" t="str">
        <x:f>IF(V69&lt;=Parametros_Operacion!$H$13,"Sí","No")</x:f>
        <x:v>Sí</x:v>
      </x:c>
      <x:c r="AA69" s="1" t="str">
        <x:f>IF(Q69&gt;0,"Ahorro por ruta compartida","Sin ahorro: recorrido equivalente")</x:f>
        <x:v>Sin ahorro: recorrido equivalente</x:v>
      </x:c>
    </x:row>
    <x:row r="70">
      <x:c r="A70" s="1" t="str">
        <x:v>PL-20260522-Z4</x:v>
      </x:c>
      <x:c r="B70" s="1" t="str">
        <x:v>2026-05-22</x:v>
      </x:c>
      <x:c r="C70" s="1" t="str">
        <x:v>Z4</x:v>
      </x:c>
      <x:c r="D70" s="1" t="str">
        <x:v>Arizona + Tela</x:v>
      </x:c>
      <x:c r="E70" s="1" t="str">
        <x:v>R002</x:v>
      </x:c>
      <x:c r="F70" s="1" t="str">
        <x:v>Ana López</x:v>
      </x:c>
      <x:c r="G70" s="1" t="str">
        <x:v>V002</x:v>
      </x:c>
      <x:c r="H70" s="1" t="n">
        <x:v>4</x:v>
      </x:c>
      <x:c r="I70" s="1" t="str">
        <x:v>RT-20260522-R006 + RT-20260522-R002</x:v>
      </x:c>
      <x:c r="J70" s="1" t="n">
        <x:v>2</x:v>
      </x:c>
      <x:c r="K70" s="5" t="n">
        <x:f>SUM(Rutas_Base!T97,Rutas_Base!W97,Rutas_Base!T95,Rutas_Base!W95)</x:f>
        <x:v>349.6</x:v>
      </x:c>
      <x:c r="L70" s="5" t="n">
        <x:f>2*MAX(Parametros_Operacion!$B$2,Parametros_Operacion!$B$9)</x:f>
        <x:v>204.6</x:v>
      </x:c>
      <x:c r="M70" s="5" t="n">
        <x:f>SUM(Rutas_Base!U97,Rutas_Base!U95)</x:f>
        <x:v>19.03</x:v>
      </x:c>
      <x:c r="N70" s="5" t="n">
        <x:f>SUM(Rutas_Base!V97,Rutas_Base!V95)</x:f>
        <x:v>19.03</x:v>
      </x:c>
      <x:c r="O70" s="5" t="n">
        <x:f>SUM(Rutas_Base!H97,Rutas_Base!H95)</x:f>
        <x:v>368.63</x:v>
      </x:c>
      <x:c r="P70" s="5" t="n">
        <x:f>ROUND(L70+N70,2)</x:f>
        <x:v>223.63</x:v>
      </x:c>
      <x:c r="Q70" s="5" t="n">
        <x:f>ROUND(O70-P70,2)</x:f>
        <x:v>145</x:v>
      </x:c>
      <x:c r="R70" s="5" t="n">
        <x:f>SUM(Rutas_Base!L97,Rutas_Base!L95)</x:f>
        <x:v>1365.68</x:v>
      </x:c>
      <x:c r="S70" s="5" t="n">
        <x:f>ROUND(P70/Vehiculos!$E$3*Vehiculos!$F$3,2)</x:f>
        <x:v>812</x:v>
      </x:c>
      <x:c r="T70" s="5" t="n">
        <x:f>ROUND(R70-S70,2)</x:f>
        <x:v>553.68</x:v>
      </x:c>
      <x:c r="U70" s="5" t="n">
        <x:f>SUM(Rutas_Base!O97,Rutas_Base!O95)</x:f>
        <x:v>497</x:v>
      </x:c>
      <x:c r="V70" s="5" t="n">
        <x:f>ROUND(P70/Vehiculos!$G$3*60+H70*8,0)</x:f>
        <x:v>312</x:v>
      </x:c>
      <x:c r="W70" s="5" t="n">
        <x:f>U70-V70</x:f>
        <x:v>185</x:v>
      </x:c>
      <x:c r="X70" s="1" t="n">
        <x:f>Vehiculos!$D$3</x:f>
        <x:v>12</x:v>
      </x:c>
      <x:c r="Y70" s="1" t="str">
        <x:f>IF(H70&lt;=X70,"Sí","No")</x:f>
        <x:v>Sí</x:v>
      </x:c>
      <x:c r="Z70" s="1" t="str">
        <x:f>IF(V70&lt;=Parametros_Operacion!$H$13,"Sí","No")</x:f>
        <x:v>Sí</x:v>
      </x:c>
      <x:c r="AA70" s="1" t="str">
        <x:f>IF(Q70&gt;0,"Ahorro por ruta compartida","Sin ahorro: recorrido equivalente")</x:f>
        <x:v>Ahorro por ruta compartida</x:v>
      </x:c>
    </x:row>
    <x:row r="71">
      <x:c r="A71" s="1" t="str">
        <x:v>PL-20260523-Z1</x:v>
      </x:c>
      <x:c r="B71" s="1" t="str">
        <x:v>2026-05-23</x:v>
      </x:c>
      <x:c r="C71" s="1" t="str">
        <x:v>Z1</x:v>
      </x:c>
      <x:c r="D71" s="1" t="str">
        <x:v>La Ceiba</x:v>
      </x:c>
      <x:c r="E71" s="1" t="str">
        <x:v>R001</x:v>
      </x:c>
      <x:c r="F71" s="1" t="str">
        <x:v>Carlos Mejía</x:v>
      </x:c>
      <x:c r="G71" s="1" t="str">
        <x:v>V001</x:v>
      </x:c>
      <x:c r="H71" s="1" t="n">
        <x:v>2</x:v>
      </x:c>
      <x:c r="I71" s="1" t="str">
        <x:v>RT-20260523-R001</x:v>
      </x:c>
      <x:c r="J71" s="1" t="n">
        <x:v>1</x:v>
      </x:c>
      <x:c r="K71" s="5" t="n">
        <x:f>SUM(Rutas_Base!T98,Rutas_Base!W98)</x:f>
        <x:v>0</x:v>
      </x:c>
      <x:c r="L71" s="5" t="n">
        <x:f>2*MAX(Parametros_Operacion!$B$6)</x:f>
        <x:v>0</x:v>
      </x:c>
      <x:c r="M71" s="5" t="n">
        <x:f>SUM(Rutas_Base!U98)</x:f>
        <x:v>18.41</x:v>
      </x:c>
      <x:c r="N71" s="5" t="n">
        <x:f>SUM(Rutas_Base!V98)</x:f>
        <x:v>18.41</x:v>
      </x:c>
      <x:c r="O71" s="5" t="n">
        <x:f>SUM(Rutas_Base!H98)</x:f>
        <x:v>18.41</x:v>
      </x:c>
      <x:c r="P71" s="5" t="n">
        <x:f>ROUND(L71+N71,2)</x:f>
        <x:v>18.41</x:v>
      </x:c>
      <x:c r="Q71" s="5" t="n">
        <x:f>ROUND(O71-P71,2)</x:f>
        <x:v>0</x:v>
      </x:c>
      <x:c r="R71" s="5" t="n">
        <x:f>SUM(Rutas_Base!L98)</x:f>
        <x:v>63.81</x:v>
      </x:c>
      <x:c r="S71" s="5" t="n">
        <x:f>ROUND(P71/Vehiculos!$E$2*Vehiculos!$F$2,2)</x:f>
        <x:v>63.81</x:v>
      </x:c>
      <x:c r="T71" s="5" t="n">
        <x:f>ROUND(R71-S71,2)</x:f>
        <x:v>0</x:v>
      </x:c>
      <x:c r="U71" s="5" t="n">
        <x:f>SUM(Rutas_Base!O98)</x:f>
        <x:v>38</x:v>
      </x:c>
      <x:c r="V71" s="5" t="n">
        <x:f>ROUND(P71/Vehiculos!$G$2*60+H71*8,0)</x:f>
        <x:v>38</x:v>
      </x:c>
      <x:c r="W71" s="5" t="n">
        <x:f>U71-V71</x:f>
        <x:v>0</x:v>
      </x:c>
      <x:c r="X71" s="1" t="n">
        <x:f>Vehiculos!$D$2</x:f>
        <x:v>12</x:v>
      </x:c>
      <x:c r="Y71" s="1" t="str">
        <x:f>IF(H71&lt;=X71,"Sí","No")</x:f>
        <x:v>Sí</x:v>
      </x:c>
      <x:c r="Z71" s="1" t="str">
        <x:f>IF(V71&lt;=Parametros_Operacion!$H$13,"Sí","No")</x:f>
        <x:v>Sí</x:v>
      </x:c>
      <x:c r="AA71" s="1" t="str">
        <x:f>IF(Q71&gt;0,"Ahorro por ruta compartida","Sin ahorro: recorrido equivalente")</x:f>
        <x:v>Sin ahorro: recorrido equivalente</x:v>
      </x:c>
    </x:row>
    <x:row r="72">
      <x:c r="A72" s="1" t="str">
        <x:v>PL-20260523-Z2</x:v>
      </x:c>
      <x:c r="B72" s="1" t="str">
        <x:v>2026-05-23</x:v>
      </x:c>
      <x:c r="C72" s="1" t="str">
        <x:v>Z2</x:v>
      </x:c>
      <x:c r="D72" s="1" t="str">
        <x:v>San Francisco</x:v>
      </x:c>
      <x:c r="E72" s="1" t="str">
        <x:v>R004</x:v>
      </x:c>
      <x:c r="F72" s="1" t="str">
        <x:v>Daniela Cruz</x:v>
      </x:c>
      <x:c r="G72" s="1" t="str">
        <x:v>V004</x:v>
      </x:c>
      <x:c r="H72" s="1" t="n">
        <x:v>1</x:v>
      </x:c>
      <x:c r="I72" s="1" t="str">
        <x:v>RT-20260523-R005</x:v>
      </x:c>
      <x:c r="J72" s="1" t="n">
        <x:v>1</x:v>
      </x:c>
      <x:c r="K72" s="5" t="n">
        <x:f>SUM(Rutas_Base!T100,Rutas_Base!W100)</x:f>
        <x:v>70</x:v>
      </x:c>
      <x:c r="L72" s="5" t="n">
        <x:f>2*MAX(Parametros_Operacion!$B$8)</x:f>
        <x:v>70</x:v>
      </x:c>
      <x:c r="M72" s="5" t="n">
        <x:f>SUM(Rutas_Base!U100)</x:f>
        <x:v>3.78</x:v>
      </x:c>
      <x:c r="N72" s="5" t="n">
        <x:f>SUM(Rutas_Base!V100)</x:f>
        <x:v>3.78</x:v>
      </x:c>
      <x:c r="O72" s="5" t="n">
        <x:f>SUM(Rutas_Base!H100)</x:f>
        <x:v>73.78</x:v>
      </x:c>
      <x:c r="P72" s="5" t="n">
        <x:f>ROUND(L72+N72,2)</x:f>
        <x:v>73.78</x:v>
      </x:c>
      <x:c r="Q72" s="5" t="n">
        <x:f>ROUND(O72-P72,2)</x:f>
        <x:v>0</x:v>
      </x:c>
      <x:c r="R72" s="5" t="n">
        <x:f>SUM(Rutas_Base!L100)</x:f>
        <x:v>351.61</x:v>
      </x:c>
      <x:c r="S72" s="5" t="n">
        <x:f>ROUND(P72/Vehiculos!$E$5*Vehiculos!$F$5,2)</x:f>
        <x:v>267.89</x:v>
      </x:c>
      <x:c r="T72" s="5" t="n">
        <x:f>ROUND(R72-S72,2)</x:f>
        <x:v>83.72</x:v>
      </x:c>
      <x:c r="U72" s="5" t="n">
        <x:f>SUM(Rutas_Base!O100)</x:f>
        <x:v>111</x:v>
      </x:c>
      <x:c r="V72" s="5" t="n">
        <x:f>ROUND(P72/Vehiculos!$G$5*60+H72*8,0)</x:f>
        <x:v>98</x:v>
      </x:c>
      <x:c r="W72" s="5" t="n">
        <x:f>U72-V72</x:f>
        <x:v>13</x:v>
      </x:c>
      <x:c r="X72" s="1" t="n">
        <x:f>Vehiculos!$D$5</x:f>
        <x:v>12</x:v>
      </x:c>
      <x:c r="Y72" s="1" t="str">
        <x:f>IF(H72&lt;=X72,"Sí","No")</x:f>
        <x:v>Sí</x:v>
      </x:c>
      <x:c r="Z72" s="1" t="str">
        <x:f>IF(V72&lt;=Parametros_Operacion!$H$13,"Sí","No")</x:f>
        <x:v>Sí</x:v>
      </x:c>
      <x:c r="AA72" s="1" t="str">
        <x:f>IF(Q72&gt;0,"Ahorro por ruta compartida","Sin ahorro: recorrido equivalente")</x:f>
        <x:v>Sin ahorro: recorrido equivalente</x:v>
      </x:c>
    </x:row>
    <x:row r="73">
      <x:c r="A73" s="1" t="str">
        <x:v>PL-20260523-Z3</x:v>
      </x:c>
      <x:c r="B73" s="1" t="str">
        <x:v>2026-05-23</x:v>
      </x:c>
      <x:c r="C73" s="1" t="str">
        <x:v>Z3</x:v>
      </x:c>
      <x:c r="D73" s="1" t="str">
        <x:v>La Masica + Esparta</x:v>
      </x:c>
      <x:c r="E73" s="1" t="str">
        <x:v>R007</x:v>
      </x:c>
      <x:c r="F73" s="1" t="str">
        <x:v>María Hernández</x:v>
      </x:c>
      <x:c r="G73" s="1" t="str">
        <x:v>V007</x:v>
      </x:c>
      <x:c r="H73" s="1" t="n">
        <x:v>4</x:v>
      </x:c>
      <x:c r="I73" s="1" t="str">
        <x:v>RT-20260523-R004 + RT-20260523-R007</x:v>
      </x:c>
      <x:c r="J73" s="1" t="n">
        <x:v>2</x:v>
      </x:c>
      <x:c r="K73" s="5" t="n">
        <x:f>SUM(Rutas_Base!T99,Rutas_Base!W99,Rutas_Base!T102,Rutas_Base!W102)</x:f>
        <x:v>233.4</x:v>
      </x:c>
      <x:c r="L73" s="5" t="n">
        <x:f>2*MAX(Parametros_Operacion!$B$7,Parametros_Operacion!$B$4)</x:f>
        <x:v>151</x:v>
      </x:c>
      <x:c r="M73" s="5" t="n">
        <x:f>SUM(Rutas_Base!U99,Rutas_Base!U102)</x:f>
        <x:v>18.3</x:v>
      </x:c>
      <x:c r="N73" s="5" t="n">
        <x:f>SUM(Rutas_Base!V99,Rutas_Base!V102)</x:f>
        <x:v>16.23</x:v>
      </x:c>
      <x:c r="O73" s="5" t="n">
        <x:f>SUM(Rutas_Base!H99,Rutas_Base!H102)</x:f>
        <x:v>251.70000000000002</x:v>
      </x:c>
      <x:c r="P73" s="5" t="n">
        <x:f>ROUND(L73+N73,2)</x:f>
        <x:v>167.23</x:v>
      </x:c>
      <x:c r="Q73" s="5" t="n">
        <x:f>ROUND(O73-P73,2)</x:f>
        <x:v>84.47</x:v>
      </x:c>
      <x:c r="R73" s="5" t="n">
        <x:f>SUM(Rutas_Base!L99,Rutas_Base!L102)</x:f>
        <x:v>942.53</x:v>
      </x:c>
      <x:c r="S73" s="5" t="n">
        <x:f>ROUND(P73/Vehiculos!$E$8*Vehiculos!$F$8,2)</x:f>
        <x:v>637.57</x:v>
      </x:c>
      <x:c r="T73" s="5" t="n">
        <x:f>ROUND(R73-S73,2)</x:f>
        <x:v>304.96</x:v>
      </x:c>
      <x:c r="U73" s="5" t="n">
        <x:f>SUM(Rutas_Base!O99,Rutas_Base!O102)</x:f>
        <x:v>353</x:v>
      </x:c>
      <x:c r="V73" s="5" t="n">
        <x:f>ROUND(P73/Vehiculos!$G$8*60+H73*8,0)</x:f>
        <x:v>250</x:v>
      </x:c>
      <x:c r="W73" s="5" t="n">
        <x:f>U73-V73</x:f>
        <x:v>103</x:v>
      </x:c>
      <x:c r="X73" s="1" t="n">
        <x:f>Vehiculos!$D$8</x:f>
        <x:v>12</x:v>
      </x:c>
      <x:c r="Y73" s="1" t="str">
        <x:f>IF(H73&lt;=X73,"Sí","No")</x:f>
        <x:v>Sí</x:v>
      </x:c>
      <x:c r="Z73" s="1" t="str">
        <x:f>IF(V73&lt;=Parametros_Operacion!$H$13,"Sí","No")</x:f>
        <x:v>Sí</x:v>
      </x:c>
      <x:c r="AA73" s="1" t="str">
        <x:f>IF(Q73&gt;0,"Ahorro por ruta compartida","Sin ahorro: recorrido equivalente")</x:f>
        <x:v>Ahorro por ruta compartida</x:v>
      </x:c>
    </x:row>
    <x:row r="74">
      <x:c r="A74" s="1" t="str">
        <x:v>PL-20260523-Z4</x:v>
      </x:c>
      <x:c r="B74" s="1" t="str">
        <x:v>2026-05-23</x:v>
      </x:c>
      <x:c r="C74" s="1" t="str">
        <x:v>Z4</x:v>
      </x:c>
      <x:c r="D74" s="1" t="str">
        <x:v>Arizona</x:v>
      </x:c>
      <x:c r="E74" s="1" t="str">
        <x:v>R002</x:v>
      </x:c>
      <x:c r="F74" s="1" t="str">
        <x:v>Ana López</x:v>
      </x:c>
      <x:c r="G74" s="1" t="str">
        <x:v>V002</x:v>
      </x:c>
      <x:c r="H74" s="1" t="n">
        <x:v>3</x:v>
      </x:c>
      <x:c r="I74" s="1" t="str">
        <x:v>RT-20260523-R006</x:v>
      </x:c>
      <x:c r="J74" s="1" t="n">
        <x:v>1</x:v>
      </x:c>
      <x:c r="K74" s="5" t="n">
        <x:f>SUM(Rutas_Base!T101,Rutas_Base!W101)</x:f>
        <x:v>145</x:v>
      </x:c>
      <x:c r="L74" s="5" t="n">
        <x:f>2*MAX(Parametros_Operacion!$B$2)</x:f>
        <x:v>145</x:v>
      </x:c>
      <x:c r="M74" s="5" t="n">
        <x:f>SUM(Rutas_Base!U101)</x:f>
        <x:v>24.28</x:v>
      </x:c>
      <x:c r="N74" s="5" t="n">
        <x:f>SUM(Rutas_Base!V101)</x:f>
        <x:v>22.88</x:v>
      </x:c>
      <x:c r="O74" s="5" t="n">
        <x:f>SUM(Rutas_Base!H101)</x:f>
        <x:v>169.28</x:v>
      </x:c>
      <x:c r="P74" s="5" t="n">
        <x:f>ROUND(L74+N74,2)</x:f>
        <x:v>167.88</x:v>
      </x:c>
      <x:c r="Q74" s="5" t="n">
        <x:f>ROUND(O74-P74,2)</x:f>
        <x:v>1.4</x:v>
      </x:c>
      <x:c r="R74" s="5" t="n">
        <x:f>SUM(Rutas_Base!L101)</x:f>
        <x:v>645.39</x:v>
      </x:c>
      <x:c r="S74" s="5" t="n">
        <x:f>ROUND(P74/Vehiculos!$E$3*Vehiculos!$F$3,2)</x:f>
        <x:v>609.57</x:v>
      </x:c>
      <x:c r="T74" s="5" t="n">
        <x:f>ROUND(R74-S74,2)</x:f>
        <x:v>35.82</x:v>
      </x:c>
      <x:c r="U74" s="5" t="n">
        <x:f>SUM(Rutas_Base!O101)</x:f>
        <x:v>240</x:v>
      </x:c>
      <x:c r="V74" s="5" t="n">
        <x:f>ROUND(P74/Vehiculos!$G$3*60+H74*8,0)</x:f>
        <x:v>234</x:v>
      </x:c>
      <x:c r="W74" s="5" t="n">
        <x:f>U74-V74</x:f>
        <x:v>6</x:v>
      </x:c>
      <x:c r="X74" s="1" t="n">
        <x:f>Vehiculos!$D$3</x:f>
        <x:v>12</x:v>
      </x:c>
      <x:c r="Y74" s="1" t="str">
        <x:f>IF(H74&lt;=X74,"Sí","No")</x:f>
        <x:v>Sí</x:v>
      </x:c>
      <x:c r="Z74" s="1" t="str">
        <x:f>IF(V74&lt;=Parametros_Operacion!$H$13,"Sí","No")</x:f>
        <x:v>Sí</x:v>
      </x:c>
      <x:c r="AA74" s="1" t="str">
        <x:f>IF(Q74&gt;0,"Ahorro por ruta compartida","Sin ahorro: recorrido equivalente")</x:f>
        <x:v>Ahorro por ruta compartida</x:v>
      </x:c>
    </x:row>
    <x:row r="75">
      <x:c r="A75" s="1" t="str">
        <x:v>PL-20260524-Z1</x:v>
      </x:c>
      <x:c r="B75" s="1" t="str">
        <x:v>2026-05-24</x:v>
      </x:c>
      <x:c r="C75" s="1" t="str">
        <x:v>Z1</x:v>
      </x:c>
      <x:c r="D75" s="1" t="str">
        <x:v>La Ceiba</x:v>
      </x:c>
      <x:c r="E75" s="1" t="str">
        <x:v>R001</x:v>
      </x:c>
      <x:c r="F75" s="1" t="str">
        <x:v>Carlos Mejía</x:v>
      </x:c>
      <x:c r="G75" s="1" t="str">
        <x:v>V001</x:v>
      </x:c>
      <x:c r="H75" s="1" t="n">
        <x:v>1</x:v>
      </x:c>
      <x:c r="I75" s="1" t="str">
        <x:v>RT-20260524-R001</x:v>
      </x:c>
      <x:c r="J75" s="1" t="n">
        <x:v>1</x:v>
      </x:c>
      <x:c r="K75" s="5" t="n">
        <x:f>SUM(Rutas_Base!T103,Rutas_Base!W103)</x:f>
        <x:v>0</x:v>
      </x:c>
      <x:c r="L75" s="5" t="n">
        <x:f>2*MAX(Parametros_Operacion!$B$6)</x:f>
        <x:v>0</x:v>
      </x:c>
      <x:c r="M75" s="5" t="n">
        <x:f>SUM(Rutas_Base!U103)</x:f>
        <x:v>6.48</x:v>
      </x:c>
      <x:c r="N75" s="5" t="n">
        <x:f>SUM(Rutas_Base!V103)</x:f>
        <x:v>6.48</x:v>
      </x:c>
      <x:c r="O75" s="5" t="n">
        <x:f>SUM(Rutas_Base!H103)</x:f>
        <x:v>6.48</x:v>
      </x:c>
      <x:c r="P75" s="5" t="n">
        <x:f>ROUND(L75+N75,2)</x:f>
        <x:v>6.48</x:v>
      </x:c>
      <x:c r="Q75" s="5" t="n">
        <x:f>ROUND(O75-P75,2)</x:f>
        <x:v>0</x:v>
      </x:c>
      <x:c r="R75" s="5" t="n">
        <x:f>SUM(Rutas_Base!L103)</x:f>
        <x:v>22.46</x:v>
      </x:c>
      <x:c r="S75" s="5" t="n">
        <x:f>ROUND(P75/Vehiculos!$E$2*Vehiculos!$F$2,2)</x:f>
        <x:v>22.46</x:v>
      </x:c>
      <x:c r="T75" s="5" t="n">
        <x:f>ROUND(R75-S75,2)</x:f>
        <x:v>0</x:v>
      </x:c>
      <x:c r="U75" s="5" t="n">
        <x:f>SUM(Rutas_Base!O103)</x:f>
        <x:v>16</x:v>
      </x:c>
      <x:c r="V75" s="5" t="n">
        <x:f>ROUND(P75/Vehiculos!$G$2*60+H75*8,0)</x:f>
        <x:v>16</x:v>
      </x:c>
      <x:c r="W75" s="5" t="n">
        <x:f>U75-V75</x:f>
        <x:v>0</x:v>
      </x:c>
      <x:c r="X75" s="1" t="n">
        <x:f>Vehiculos!$D$2</x:f>
        <x:v>12</x:v>
      </x:c>
      <x:c r="Y75" s="1" t="str">
        <x:f>IF(H75&lt;=X75,"Sí","No")</x:f>
        <x:v>Sí</x:v>
      </x:c>
      <x:c r="Z75" s="1" t="str">
        <x:f>IF(V75&lt;=Parametros_Operacion!$H$13,"Sí","No")</x:f>
        <x:v>Sí</x:v>
      </x:c>
      <x:c r="AA75" s="1" t="str">
        <x:f>IF(Q75&gt;0,"Ahorro por ruta compartida","Sin ahorro: recorrido equivalente")</x:f>
        <x:v>Sin ahorro: recorrido equivalente</x:v>
      </x:c>
    </x:row>
    <x:row r="76">
      <x:c r="A76" s="1" t="str">
        <x:v>PL-20260524-Z2</x:v>
      </x:c>
      <x:c r="B76" s="1" t="str">
        <x:v>2026-05-24</x:v>
      </x:c>
      <x:c r="C76" s="1" t="str">
        <x:v>Z2</x:v>
      </x:c>
      <x:c r="D76" s="1" t="str">
        <x:v>San Francisco</x:v>
      </x:c>
      <x:c r="E76" s="1" t="str">
        <x:v>R004</x:v>
      </x:c>
      <x:c r="F76" s="1" t="str">
        <x:v>Daniela Cruz</x:v>
      </x:c>
      <x:c r="G76" s="1" t="str">
        <x:v>V004</x:v>
      </x:c>
      <x:c r="H76" s="1" t="n">
        <x:v>1</x:v>
      </x:c>
      <x:c r="I76" s="1" t="str">
        <x:v>RT-20260524-R005</x:v>
      </x:c>
      <x:c r="J76" s="1" t="n">
        <x:v>1</x:v>
      </x:c>
      <x:c r="K76" s="5" t="n">
        <x:f>SUM(Rutas_Base!T105,Rutas_Base!W105)</x:f>
        <x:v>70</x:v>
      </x:c>
      <x:c r="L76" s="5" t="n">
        <x:f>2*MAX(Parametros_Operacion!$B$8)</x:f>
        <x:v>70</x:v>
      </x:c>
      <x:c r="M76" s="5" t="n">
        <x:f>SUM(Rutas_Base!U105)</x:f>
        <x:v>6.04</x:v>
      </x:c>
      <x:c r="N76" s="5" t="n">
        <x:f>SUM(Rutas_Base!V105)</x:f>
        <x:v>6.04</x:v>
      </x:c>
      <x:c r="O76" s="5" t="n">
        <x:f>SUM(Rutas_Base!H105)</x:f>
        <x:v>76.04</x:v>
      </x:c>
      <x:c r="P76" s="5" t="n">
        <x:f>ROUND(L76+N76,2)</x:f>
        <x:v>76.04</x:v>
      </x:c>
      <x:c r="Q76" s="5" t="n">
        <x:f>ROUND(O76-P76,2)</x:f>
        <x:v>0</x:v>
      </x:c>
      <x:c r="R76" s="5" t="n">
        <x:f>SUM(Rutas_Base!L105)</x:f>
        <x:v>362.38</x:v>
      </x:c>
      <x:c r="S76" s="5" t="n">
        <x:f>ROUND(P76/Vehiculos!$E$5*Vehiculos!$F$5,2)</x:f>
        <x:v>276.1</x:v>
      </x:c>
      <x:c r="T76" s="5" t="n">
        <x:f>ROUND(R76-S76,2)</x:f>
        <x:v>86.28</x:v>
      </x:c>
      <x:c r="U76" s="5" t="n">
        <x:f>SUM(Rutas_Base!O105)</x:f>
        <x:v>114</x:v>
      </x:c>
      <x:c r="V76" s="5" t="n">
        <x:f>ROUND(P76/Vehiculos!$G$5*60+H76*8,0)</x:f>
        <x:v>101</x:v>
      </x:c>
      <x:c r="W76" s="5" t="n">
        <x:f>U76-V76</x:f>
        <x:v>13</x:v>
      </x:c>
      <x:c r="X76" s="1" t="n">
        <x:f>Vehiculos!$D$5</x:f>
        <x:v>12</x:v>
      </x:c>
      <x:c r="Y76" s="1" t="str">
        <x:f>IF(H76&lt;=X76,"Sí","No")</x:f>
        <x:v>Sí</x:v>
      </x:c>
      <x:c r="Z76" s="1" t="str">
        <x:f>IF(V76&lt;=Parametros_Operacion!$H$13,"Sí","No")</x:f>
        <x:v>Sí</x:v>
      </x:c>
      <x:c r="AA76" s="1" t="str">
        <x:f>IF(Q76&gt;0,"Ahorro por ruta compartida","Sin ahorro: recorrido equivalente")</x:f>
        <x:v>Sin ahorro: recorrido equivalente</x:v>
      </x:c>
    </x:row>
    <x:row r="77">
      <x:c r="A77" s="1" t="str">
        <x:v>PL-20260524-Z4</x:v>
      </x:c>
      <x:c r="B77" s="1" t="str">
        <x:v>2026-05-24</x:v>
      </x:c>
      <x:c r="C77" s="1" t="str">
        <x:v>Z4</x:v>
      </x:c>
      <x:c r="D77" s="1" t="str">
        <x:v>Arizona + Tela</x:v>
      </x:c>
      <x:c r="E77" s="1" t="str">
        <x:v>R002</x:v>
      </x:c>
      <x:c r="F77" s="1" t="str">
        <x:v>Ana López</x:v>
      </x:c>
      <x:c r="G77" s="1" t="str">
        <x:v>V002</x:v>
      </x:c>
      <x:c r="H77" s="1" t="n">
        <x:v>4</x:v>
      </x:c>
      <x:c r="I77" s="1" t="str">
        <x:v>RT-20260524-R006 + RT-20260524-R002</x:v>
      </x:c>
      <x:c r="J77" s="1" t="n">
        <x:v>2</x:v>
      </x:c>
      <x:c r="K77" s="5" t="n">
        <x:f>SUM(Rutas_Base!T106,Rutas_Base!W106,Rutas_Base!T104,Rutas_Base!W104)</x:f>
        <x:v>349.6</x:v>
      </x:c>
      <x:c r="L77" s="5" t="n">
        <x:f>2*MAX(Parametros_Operacion!$B$2,Parametros_Operacion!$B$9)</x:f>
        <x:v>204.6</x:v>
      </x:c>
      <x:c r="M77" s="5" t="n">
        <x:f>SUM(Rutas_Base!U106,Rutas_Base!U104)</x:f>
        <x:v>23.8</x:v>
      </x:c>
      <x:c r="N77" s="5" t="n">
        <x:f>SUM(Rutas_Base!V106,Rutas_Base!V104)</x:f>
        <x:v>23.8</x:v>
      </x:c>
      <x:c r="O77" s="5" t="n">
        <x:f>SUM(Rutas_Base!H106,Rutas_Base!H104)</x:f>
        <x:v>373.4</x:v>
      </x:c>
      <x:c r="P77" s="5" t="n">
        <x:f>ROUND(L77+N77,2)</x:f>
        <x:v>228.4</x:v>
      </x:c>
      <x:c r="Q77" s="5" t="n">
        <x:f>ROUND(O77-P77,2)</x:f>
        <x:v>145</x:v>
      </x:c>
      <x:c r="R77" s="5" t="n">
        <x:f>SUM(Rutas_Base!L106,Rutas_Base!L104)</x:f>
        <x:v>1384.04</x:v>
      </x:c>
      <x:c r="S77" s="5" t="n">
        <x:f>ROUND(P77/Vehiculos!$E$3*Vehiculos!$F$3,2)</x:f>
        <x:v>829.32</x:v>
      </x:c>
      <x:c r="T77" s="5" t="n">
        <x:f>ROUND(R77-S77,2)</x:f>
        <x:v>554.72</x:v>
      </x:c>
      <x:c r="U77" s="5" t="n">
        <x:f>SUM(Rutas_Base!O106,Rutas_Base!O104)</x:f>
        <x:v>502</x:v>
      </x:c>
      <x:c r="V77" s="5" t="n">
        <x:f>ROUND(P77/Vehiculos!$G$3*60+H77*8,0)</x:f>
        <x:v>318</x:v>
      </x:c>
      <x:c r="W77" s="5" t="n">
        <x:f>U77-V77</x:f>
        <x:v>184</x:v>
      </x:c>
      <x:c r="X77" s="1" t="n">
        <x:f>Vehiculos!$D$3</x:f>
        <x:v>12</x:v>
      </x:c>
      <x:c r="Y77" s="1" t="str">
        <x:f>IF(H77&lt;=X77,"Sí","No")</x:f>
        <x:v>Sí</x:v>
      </x:c>
      <x:c r="Z77" s="1" t="str">
        <x:f>IF(V77&lt;=Parametros_Operacion!$H$13,"Sí","No")</x:f>
        <x:v>Sí</x:v>
      </x:c>
      <x:c r="AA77" s="1" t="str">
        <x:f>IF(Q77&gt;0,"Ahorro por ruta compartida","Sin ahorro: recorrido equivalente")</x:f>
        <x:v>Ahorro por ruta compartida</x:v>
      </x:c>
    </x:row>
    <x:row r="78">
      <x:c r="A78" s="1" t="str">
        <x:v>PL-20260525-Z3</x:v>
      </x:c>
      <x:c r="B78" s="1" t="str">
        <x:v>2026-05-25</x:v>
      </x:c>
      <x:c r="C78" s="1" t="str">
        <x:v>Z3</x:v>
      </x:c>
      <x:c r="D78" s="1" t="str">
        <x:v>La Masica + Esparta</x:v>
      </x:c>
      <x:c r="E78" s="1" t="str">
        <x:v>R007</x:v>
      </x:c>
      <x:c r="F78" s="1" t="str">
        <x:v>María Hernández</x:v>
      </x:c>
      <x:c r="G78" s="1" t="str">
        <x:v>V007</x:v>
      </x:c>
      <x:c r="H78" s="1" t="n">
        <x:v>4</x:v>
      </x:c>
      <x:c r="I78" s="1" t="str">
        <x:v>RT-20260525-R004 + RT-20260525-R007</x:v>
      </x:c>
      <x:c r="J78" s="1" t="n">
        <x:v>2</x:v>
      </x:c>
      <x:c r="K78" s="5" t="n">
        <x:f>SUM(Rutas_Base!T108,Rutas_Base!W108,Rutas_Base!T109,Rutas_Base!W109)</x:f>
        <x:v>233.4</x:v>
      </x:c>
      <x:c r="L78" s="5" t="n">
        <x:f>2*MAX(Parametros_Operacion!$B$7,Parametros_Operacion!$B$4)</x:f>
        <x:v>151</x:v>
      </x:c>
      <x:c r="M78" s="5" t="n">
        <x:f>SUM(Rutas_Base!U108,Rutas_Base!U109)</x:f>
        <x:v>16.41</x:v>
      </x:c>
      <x:c r="N78" s="5" t="n">
        <x:f>SUM(Rutas_Base!V108,Rutas_Base!V109)</x:f>
        <x:v>15.169999999999998</x:v>
      </x:c>
      <x:c r="O78" s="5" t="n">
        <x:f>SUM(Rutas_Base!H108,Rutas_Base!H109)</x:f>
        <x:v>249.81</x:v>
      </x:c>
      <x:c r="P78" s="5" t="n">
        <x:f>ROUND(L78+N78,2)</x:f>
        <x:v>166.17</x:v>
      </x:c>
      <x:c r="Q78" s="5" t="n">
        <x:f>ROUND(O78-P78,2)</x:f>
        <x:v>83.64</x:v>
      </x:c>
      <x:c r="R78" s="5" t="n">
        <x:f>SUM(Rutas_Base!L108,Rutas_Base!L109)</x:f>
        <x:v>936.51</x:v>
      </x:c>
      <x:c r="S78" s="5" t="n">
        <x:f>ROUND(P78/Vehiculos!$E$8*Vehiculos!$F$8,2)</x:f>
        <x:v>633.53</x:v>
      </x:c>
      <x:c r="T78" s="5" t="n">
        <x:f>ROUND(R78-S78,2)</x:f>
        <x:v>302.98</x:v>
      </x:c>
      <x:c r="U78" s="5" t="n">
        <x:f>SUM(Rutas_Base!O108,Rutas_Base!O109)</x:f>
        <x:v>351</x:v>
      </x:c>
      <x:c r="V78" s="5" t="n">
        <x:f>ROUND(P78/Vehiculos!$G$8*60+H78*8,0)</x:f>
        <x:v>249</x:v>
      </x:c>
      <x:c r="W78" s="5" t="n">
        <x:f>U78-V78</x:f>
        <x:v>102</x:v>
      </x:c>
      <x:c r="X78" s="1" t="n">
        <x:f>Vehiculos!$D$8</x:f>
        <x:v>12</x:v>
      </x:c>
      <x:c r="Y78" s="1" t="str">
        <x:f>IF(H78&lt;=X78,"Sí","No")</x:f>
        <x:v>Sí</x:v>
      </x:c>
      <x:c r="Z78" s="1" t="str">
        <x:f>IF(V78&lt;=Parametros_Operacion!$H$13,"Sí","No")</x:f>
        <x:v>Sí</x:v>
      </x:c>
      <x:c r="AA78" s="1" t="str">
        <x:f>IF(Q78&gt;0,"Ahorro por ruta compartida","Sin ahorro: recorrido equivalente")</x:f>
        <x:v>Ahorro por ruta compartida</x:v>
      </x:c>
    </x:row>
    <x:row r="79">
      <x:c r="A79" s="1" t="str">
        <x:v>PL-20260525-Z4</x:v>
      </x:c>
      <x:c r="B79" s="1" t="str">
        <x:v>2026-05-25</x:v>
      </x:c>
      <x:c r="C79" s="1" t="str">
        <x:v>Z4</x:v>
      </x:c>
      <x:c r="D79" s="1" t="str">
        <x:v>Tela</x:v>
      </x:c>
      <x:c r="E79" s="1" t="str">
        <x:v>R002</x:v>
      </x:c>
      <x:c r="F79" s="1" t="str">
        <x:v>Ana López</x:v>
      </x:c>
      <x:c r="G79" s="1" t="str">
        <x:v>V002</x:v>
      </x:c>
      <x:c r="H79" s="1" t="n">
        <x:v>1</x:v>
      </x:c>
      <x:c r="I79" s="1" t="str">
        <x:v>RT-20260525-R002</x:v>
      </x:c>
      <x:c r="J79" s="1" t="n">
        <x:v>1</x:v>
      </x:c>
      <x:c r="K79" s="5" t="n">
        <x:f>SUM(Rutas_Base!T107,Rutas_Base!W107)</x:f>
        <x:v>204.6</x:v>
      </x:c>
      <x:c r="L79" s="5" t="n">
        <x:f>2*MAX(Parametros_Operacion!$B$9)</x:f>
        <x:v>204.6</x:v>
      </x:c>
      <x:c r="M79" s="5" t="n">
        <x:f>SUM(Rutas_Base!U107)</x:f>
        <x:v>8.34</x:v>
      </x:c>
      <x:c r="N79" s="5" t="n">
        <x:f>SUM(Rutas_Base!V107)</x:f>
        <x:v>8.34</x:v>
      </x:c>
      <x:c r="O79" s="5" t="n">
        <x:f>SUM(Rutas_Base!H107)</x:f>
        <x:v>212.94</x:v>
      </x:c>
      <x:c r="P79" s="5" t="n">
        <x:f>ROUND(L79+N79,2)</x:f>
        <x:v>212.94</x:v>
      </x:c>
      <x:c r="Q79" s="5" t="n">
        <x:f>ROUND(O79-P79,2)</x:f>
        <x:v>0</x:v>
      </x:c>
      <x:c r="R79" s="5" t="n">
        <x:f>SUM(Rutas_Base!L107)</x:f>
        <x:v>773.18</x:v>
      </x:c>
      <x:c r="S79" s="5" t="n">
        <x:f>ROUND(P79/Vehiculos!$E$3*Vehiculos!$F$3,2)</x:f>
        <x:v>773.18</x:v>
      </x:c>
      <x:c r="T79" s="5" t="n">
        <x:f>ROUND(R79-S79,2)</x:f>
        <x:v>0</x:v>
      </x:c>
      <x:c r="U79" s="5" t="n">
        <x:f>SUM(Rutas_Base!O107)</x:f>
        <x:v>274</x:v>
      </x:c>
      <x:c r="V79" s="5" t="n">
        <x:f>ROUND(P79/Vehiculos!$G$3*60+H79*8,0)</x:f>
        <x:v>274</x:v>
      </x:c>
      <x:c r="W79" s="5" t="n">
        <x:f>U79-V79</x:f>
        <x:v>0</x:v>
      </x:c>
      <x:c r="X79" s="1" t="n">
        <x:f>Vehiculos!$D$3</x:f>
        <x:v>12</x:v>
      </x:c>
      <x:c r="Y79" s="1" t="str">
        <x:f>IF(H79&lt;=X79,"Sí","No")</x:f>
        <x:v>Sí</x:v>
      </x:c>
      <x:c r="Z79" s="1" t="str">
        <x:f>IF(V79&lt;=Parametros_Operacion!$H$13,"Sí","No")</x:f>
        <x:v>Sí</x:v>
      </x:c>
      <x:c r="AA79" s="1" t="str">
        <x:f>IF(Q79&gt;0,"Ahorro por ruta compartida","Sin ahorro: recorrido equivalente")</x:f>
        <x:v>Sin ahorro: recorrido equivalente</x:v>
      </x:c>
    </x:row>
    <x:row r="80">
      <x:c r="A80" s="1" t="str">
        <x:v>PL-20260526-Z1</x:v>
      </x:c>
      <x:c r="B80" s="1" t="str">
        <x:v>2026-05-26</x:v>
      </x:c>
      <x:c r="C80" s="1" t="str">
        <x:v>Z1</x:v>
      </x:c>
      <x:c r="D80" s="1" t="str">
        <x:v>La Ceiba + Jutiapa</x:v>
      </x:c>
      <x:c r="E80" s="1" t="str">
        <x:v>R001</x:v>
      </x:c>
      <x:c r="F80" s="1" t="str">
        <x:v>Carlos Mejía</x:v>
      </x:c>
      <x:c r="G80" s="1" t="str">
        <x:v>V001</x:v>
      </x:c>
      <x:c r="H80" s="1" t="n">
        <x:v>4</x:v>
      </x:c>
      <x:c r="I80" s="1" t="str">
        <x:v>RT-20260526-R001 + RT-20260526-R003</x:v>
      </x:c>
      <x:c r="J80" s="1" t="n">
        <x:v>2</x:v>
      </x:c>
      <x:c r="K80" s="5" t="n">
        <x:f>SUM(Rutas_Base!T110,Rutas_Base!W110,Rutas_Base!T112,Rutas_Base!W112)</x:f>
        <x:v>62.8</x:v>
      </x:c>
      <x:c r="L80" s="5" t="n">
        <x:f>2*MAX(Parametros_Operacion!$B$6,Parametros_Operacion!$B$5)</x:f>
        <x:v>62.8</x:v>
      </x:c>
      <x:c r="M80" s="5" t="n">
        <x:f>SUM(Rutas_Base!U110,Rutas_Base!U112)</x:f>
        <x:v>34.99</x:v>
      </x:c>
      <x:c r="N80" s="5" t="n">
        <x:f>SUM(Rutas_Base!V110,Rutas_Base!V112)</x:f>
        <x:v>33.82</x:v>
      </x:c>
      <x:c r="O80" s="5" t="n">
        <x:f>SUM(Rutas_Base!H110,Rutas_Base!H112)</x:f>
        <x:v>97.79</x:v>
      </x:c>
      <x:c r="P80" s="5" t="n">
        <x:f>ROUND(L80+N80,2)</x:f>
        <x:v>96.62</x:v>
      </x:c>
      <x:c r="Q80" s="5" t="n">
        <x:f>ROUND(O80-P80,2)</x:f>
        <x:v>1.17</x:v>
      </x:c>
      <x:c r="R80" s="5" t="n">
        <x:f>SUM(Rutas_Base!L110,Rutas_Base!L112)</x:f>
        <x:v>364.76</x:v>
      </x:c>
      <x:c r="S80" s="5" t="n">
        <x:f>ROUND(P80/Vehiculos!$E$2*Vehiculos!$F$2,2)</x:f>
        <x:v>334.88</x:v>
      </x:c>
      <x:c r="T80" s="5" t="n">
        <x:f>ROUND(R80-S80,2)</x:f>
        <x:v>29.88</x:v>
      </x:c>
      <x:c r="U80" s="5" t="n">
        <x:f>SUM(Rutas_Base!O110,Rutas_Base!O112)</x:f>
        <x:v>155</x:v>
      </x:c>
      <x:c r="V80" s="5" t="n">
        <x:f>ROUND(P80/Vehiculos!$G$2*60+H80*8,0)</x:f>
        <x:v>148</x:v>
      </x:c>
      <x:c r="W80" s="5" t="n">
        <x:f>U80-V80</x:f>
        <x:v>7</x:v>
      </x:c>
      <x:c r="X80" s="1" t="n">
        <x:f>Vehiculos!$D$2</x:f>
        <x:v>12</x:v>
      </x:c>
      <x:c r="Y80" s="1" t="str">
        <x:f>IF(H80&lt;=X80,"Sí","No")</x:f>
        <x:v>Sí</x:v>
      </x:c>
      <x:c r="Z80" s="1" t="str">
        <x:f>IF(V80&lt;=Parametros_Operacion!$H$13,"Sí","No")</x:f>
        <x:v>Sí</x:v>
      </x:c>
      <x:c r="AA80" s="1" t="str">
        <x:f>IF(Q80&gt;0,"Ahorro por ruta compartida","Sin ahorro: recorrido equivalente")</x:f>
        <x:v>Ahorro por ruta compartida</x:v>
      </x:c>
    </x:row>
    <x:row r="81">
      <x:c r="A81" s="1" t="str">
        <x:v>PL-20260526-Z2</x:v>
      </x:c>
      <x:c r="B81" s="1" t="str">
        <x:v>2026-05-26</x:v>
      </x:c>
      <x:c r="C81" s="1" t="str">
        <x:v>Z2</x:v>
      </x:c>
      <x:c r="D81" s="1" t="str">
        <x:v>El Porvenir + San Francisco</x:v>
      </x:c>
      <x:c r="E81" s="1" t="str">
        <x:v>R004</x:v>
      </x:c>
      <x:c r="F81" s="1" t="str">
        <x:v>Daniela Cruz</x:v>
      </x:c>
      <x:c r="G81" s="1" t="str">
        <x:v>V004</x:v>
      </x:c>
      <x:c r="H81" s="1" t="n">
        <x:v>2</x:v>
      </x:c>
      <x:c r="I81" s="1" t="str">
        <x:v>RT-20260526-R008 + RT-20260526-R005</x:v>
      </x:c>
      <x:c r="J81" s="1" t="n">
        <x:v>2</x:v>
      </x:c>
      <x:c r="K81" s="5" t="n">
        <x:f>SUM(Rutas_Base!T117,Rutas_Base!W117,Rutas_Base!T114,Rutas_Base!W114)</x:f>
        <x:v>103</x:v>
      </x:c>
      <x:c r="L81" s="5" t="n">
        <x:f>2*MAX(Parametros_Operacion!$B$3,Parametros_Operacion!$B$8)</x:f>
        <x:v>70</x:v>
      </x:c>
      <x:c r="M81" s="5" t="n">
        <x:f>SUM(Rutas_Base!U117,Rutas_Base!U114)</x:f>
        <x:v>9.58</x:v>
      </x:c>
      <x:c r="N81" s="5" t="n">
        <x:f>SUM(Rutas_Base!V117,Rutas_Base!V114)</x:f>
        <x:v>9.58</x:v>
      </x:c>
      <x:c r="O81" s="5" t="n">
        <x:f>SUM(Rutas_Base!H117,Rutas_Base!H114)</x:f>
        <x:v>112.58</x:v>
      </x:c>
      <x:c r="P81" s="5" t="n">
        <x:f>ROUND(L81+N81,2)</x:f>
        <x:v>79.58</x:v>
      </x:c>
      <x:c r="Q81" s="5" t="n">
        <x:f>ROUND(O81-P81,2)</x:f>
        <x:v>33</x:v>
      </x:c>
      <x:c r="R81" s="5" t="n">
        <x:f>SUM(Rutas_Base!L117,Rutas_Base!L114)</x:f>
        <x:v>548.84</x:v>
      </x:c>
      <x:c r="S81" s="5" t="n">
        <x:f>ROUND(P81/Vehiculos!$E$5*Vehiculos!$F$5,2)</x:f>
        <x:v>288.95</x:v>
      </x:c>
      <x:c r="T81" s="5" t="n">
        <x:f>ROUND(R81-S81,2)</x:f>
        <x:v>259.89</x:v>
      </x:c>
      <x:c r="U81" s="5" t="n">
        <x:f>SUM(Rutas_Base!O117,Rutas_Base!O114)</x:f>
        <x:v>174</x:v>
      </x:c>
      <x:c r="V81" s="5" t="n">
        <x:f>ROUND(P81/Vehiculos!$G$5*60+H81*8,0)</x:f>
        <x:v>113</x:v>
      </x:c>
      <x:c r="W81" s="5" t="n">
        <x:f>U81-V81</x:f>
        <x:v>61</x:v>
      </x:c>
      <x:c r="X81" s="1" t="n">
        <x:f>Vehiculos!$D$5</x:f>
        <x:v>12</x:v>
      </x:c>
      <x:c r="Y81" s="1" t="str">
        <x:f>IF(H81&lt;=X81,"Sí","No")</x:f>
        <x:v>Sí</x:v>
      </x:c>
      <x:c r="Z81" s="1" t="str">
        <x:f>IF(V81&lt;=Parametros_Operacion!$H$13,"Sí","No")</x:f>
        <x:v>Sí</x:v>
      </x:c>
      <x:c r="AA81" s="1" t="str">
        <x:f>IF(Q81&gt;0,"Ahorro por ruta compartida","Sin ahorro: recorrido equivalente")</x:f>
        <x:v>Ahorro por ruta compartida</x:v>
      </x:c>
    </x:row>
    <x:row r="82">
      <x:c r="A82" s="1" t="str">
        <x:v>PL-20260526-Z3</x:v>
      </x:c>
      <x:c r="B82" s="1" t="str">
        <x:v>2026-05-26</x:v>
      </x:c>
      <x:c r="C82" s="1" t="str">
        <x:v>Z3</x:v>
      </x:c>
      <x:c r="D82" s="1" t="str">
        <x:v>La Masica + Esparta</x:v>
      </x:c>
      <x:c r="E82" s="1" t="str">
        <x:v>R007</x:v>
      </x:c>
      <x:c r="F82" s="1" t="str">
        <x:v>María Hernández</x:v>
      </x:c>
      <x:c r="G82" s="1" t="str">
        <x:v>V007</x:v>
      </x:c>
      <x:c r="H82" s="1" t="n">
        <x:v>3</x:v>
      </x:c>
      <x:c r="I82" s="1" t="str">
        <x:v>RT-20260526-R004 + RT-20260526-R007</x:v>
      </x:c>
      <x:c r="J82" s="1" t="n">
        <x:v>2</x:v>
      </x:c>
      <x:c r="K82" s="5" t="n">
        <x:f>SUM(Rutas_Base!T113,Rutas_Base!W113,Rutas_Base!T116,Rutas_Base!W116)</x:f>
        <x:v>233.4</x:v>
      </x:c>
      <x:c r="L82" s="5" t="n">
        <x:f>2*MAX(Parametros_Operacion!$B$7,Parametros_Operacion!$B$4)</x:f>
        <x:v>151</x:v>
      </x:c>
      <x:c r="M82" s="5" t="n">
        <x:f>SUM(Rutas_Base!U113,Rutas_Base!U116)</x:f>
        <x:v>20.68</x:v>
      </x:c>
      <x:c r="N82" s="5" t="n">
        <x:f>SUM(Rutas_Base!V113,Rutas_Base!V116)</x:f>
        <x:v>20.68</x:v>
      </x:c>
      <x:c r="O82" s="5" t="n">
        <x:f>SUM(Rutas_Base!H113,Rutas_Base!H116)</x:f>
        <x:v>254.08</x:v>
      </x:c>
      <x:c r="P82" s="5" t="n">
        <x:f>ROUND(L82+N82,2)</x:f>
        <x:v>171.68</x:v>
      </x:c>
      <x:c r="Q82" s="5" t="n">
        <x:f>ROUND(O82-P82,2)</x:f>
        <x:v>82.4</x:v>
      </x:c>
      <x:c r="R82" s="5" t="n">
        <x:f>SUM(Rutas_Base!L113,Rutas_Base!L116)</x:f>
        <x:v>952.0699999999999</x:v>
      </x:c>
      <x:c r="S82" s="5" t="n">
        <x:f>ROUND(P82/Vehiculos!$E$8*Vehiculos!$F$8,2)</x:f>
        <x:v>654.54</x:v>
      </x:c>
      <x:c r="T82" s="5" t="n">
        <x:f>ROUND(R82-S82,2)</x:f>
        <x:v>297.53</x:v>
      </x:c>
      <x:c r="U82" s="5" t="n">
        <x:f>SUM(Rutas_Base!O113,Rutas_Base!O116)</x:f>
        <x:v>348</x:v>
      </x:c>
      <x:c r="V82" s="5" t="n">
        <x:f>ROUND(P82/Vehiculos!$G$8*60+H82*8,0)</x:f>
        <x:v>248</x:v>
      </x:c>
      <x:c r="W82" s="5" t="n">
        <x:f>U82-V82</x:f>
        <x:v>100</x:v>
      </x:c>
      <x:c r="X82" s="1" t="n">
        <x:f>Vehiculos!$D$8</x:f>
        <x:v>12</x:v>
      </x:c>
      <x:c r="Y82" s="1" t="str">
        <x:f>IF(H82&lt;=X82,"Sí","No")</x:f>
        <x:v>Sí</x:v>
      </x:c>
      <x:c r="Z82" s="1" t="str">
        <x:f>IF(V82&lt;=Parametros_Operacion!$H$13,"Sí","No")</x:f>
        <x:v>Sí</x:v>
      </x:c>
      <x:c r="AA82" s="1" t="str">
        <x:f>IF(Q82&gt;0,"Ahorro por ruta compartida","Sin ahorro: recorrido equivalente")</x:f>
        <x:v>Ahorro por ruta compartida</x:v>
      </x:c>
    </x:row>
    <x:row r="83">
      <x:c r="A83" s="1" t="str">
        <x:v>PL-20260526-Z4</x:v>
      </x:c>
      <x:c r="B83" s="1" t="str">
        <x:v>2026-05-26</x:v>
      </x:c>
      <x:c r="C83" s="1" t="str">
        <x:v>Z4</x:v>
      </x:c>
      <x:c r="D83" s="1" t="str">
        <x:v>Arizona + Tela</x:v>
      </x:c>
      <x:c r="E83" s="1" t="str">
        <x:v>R002</x:v>
      </x:c>
      <x:c r="F83" s="1" t="str">
        <x:v>Ana López</x:v>
      </x:c>
      <x:c r="G83" s="1" t="str">
        <x:v>V002</x:v>
      </x:c>
      <x:c r="H83" s="1" t="n">
        <x:v>2</x:v>
      </x:c>
      <x:c r="I83" s="1" t="str">
        <x:v>RT-20260526-R006 + RT-20260526-R002</x:v>
      </x:c>
      <x:c r="J83" s="1" t="n">
        <x:v>2</x:v>
      </x:c>
      <x:c r="K83" s="5" t="n">
        <x:f>SUM(Rutas_Base!T115,Rutas_Base!W115,Rutas_Base!T111,Rutas_Base!W111)</x:f>
        <x:v>349.6</x:v>
      </x:c>
      <x:c r="L83" s="5" t="n">
        <x:f>2*MAX(Parametros_Operacion!$B$2,Parametros_Operacion!$B$9)</x:f>
        <x:v>204.6</x:v>
      </x:c>
      <x:c r="M83" s="5" t="n">
        <x:f>SUM(Rutas_Base!U115,Rutas_Base!U111)</x:f>
        <x:v>15.600000000000001</x:v>
      </x:c>
      <x:c r="N83" s="5" t="n">
        <x:f>SUM(Rutas_Base!V115,Rutas_Base!V111)</x:f>
        <x:v>15.600000000000001</x:v>
      </x:c>
      <x:c r="O83" s="5" t="n">
        <x:f>SUM(Rutas_Base!H115,Rutas_Base!H111)</x:f>
        <x:v>365.20000000000005</x:v>
      </x:c>
      <x:c r="P83" s="5" t="n">
        <x:f>ROUND(L83+N83,2)</x:f>
        <x:v>220.2</x:v>
      </x:c>
      <x:c r="Q83" s="5" t="n">
        <x:f>ROUND(O83-P83,2)</x:f>
        <x:v>145</x:v>
      </x:c>
      <x:c r="R83" s="5" t="n">
        <x:f>SUM(Rutas_Base!L115,Rutas_Base!L111)</x:f>
        <x:v>1353.51</x:v>
      </x:c>
      <x:c r="S83" s="5" t="n">
        <x:f>ROUND(P83/Vehiculos!$E$3*Vehiculos!$F$3,2)</x:f>
        <x:v>799.54</x:v>
      </x:c>
      <x:c r="T83" s="5" t="n">
        <x:f>ROUND(R83-S83,2)</x:f>
        <x:v>553.97</x:v>
      </x:c>
      <x:c r="U83" s="5" t="n">
        <x:f>SUM(Rutas_Base!O115,Rutas_Base!O111)</x:f>
        <x:v>476</x:v>
      </x:c>
      <x:c r="V83" s="5" t="n">
        <x:f>ROUND(P83/Vehiculos!$G$3*60+H83*8,0)</x:f>
        <x:v>291</x:v>
      </x:c>
      <x:c r="W83" s="5" t="n">
        <x:f>U83-V83</x:f>
        <x:v>185</x:v>
      </x:c>
      <x:c r="X83" s="1" t="n">
        <x:f>Vehiculos!$D$3</x:f>
        <x:v>12</x:v>
      </x:c>
      <x:c r="Y83" s="1" t="str">
        <x:f>IF(H83&lt;=X83,"Sí","No")</x:f>
        <x:v>Sí</x:v>
      </x:c>
      <x:c r="Z83" s="1" t="str">
        <x:f>IF(V83&lt;=Parametros_Operacion!$H$13,"Sí","No")</x:f>
        <x:v>Sí</x:v>
      </x:c>
      <x:c r="AA83" s="1" t="str">
        <x:f>IF(Q83&gt;0,"Ahorro por ruta compartida","Sin ahorro: recorrido equivalente")</x:f>
        <x:v>Ahorro por ruta compartida</x:v>
      </x:c>
    </x:row>
    <x:row r="84">
      <x:c r="A84" s="1" t="str">
        <x:v>PL-20260527-Z1</x:v>
      </x:c>
      <x:c r="B84" s="1" t="str">
        <x:v>2026-05-27</x:v>
      </x:c>
      <x:c r="C84" s="1" t="str">
        <x:v>Z1</x:v>
      </x:c>
      <x:c r="D84" s="1" t="str">
        <x:v>La Ceiba</x:v>
      </x:c>
      <x:c r="E84" s="1" t="str">
        <x:v>R001</x:v>
      </x:c>
      <x:c r="F84" s="1" t="str">
        <x:v>Carlos Mejía</x:v>
      </x:c>
      <x:c r="G84" s="1" t="str">
        <x:v>V001</x:v>
      </x:c>
      <x:c r="H84" s="1" t="n">
        <x:v>1</x:v>
      </x:c>
      <x:c r="I84" s="1" t="str">
        <x:v>RT-20260527-R001</x:v>
      </x:c>
      <x:c r="J84" s="1" t="n">
        <x:v>1</x:v>
      </x:c>
      <x:c r="K84" s="5" t="n">
        <x:f>SUM(Rutas_Base!T118,Rutas_Base!W118)</x:f>
        <x:v>0</x:v>
      </x:c>
      <x:c r="L84" s="5" t="n">
        <x:f>2*MAX(Parametros_Operacion!$B$6)</x:f>
        <x:v>0</x:v>
      </x:c>
      <x:c r="M84" s="5" t="n">
        <x:f>SUM(Rutas_Base!U118)</x:f>
        <x:v>5.2</x:v>
      </x:c>
      <x:c r="N84" s="5" t="n">
        <x:f>SUM(Rutas_Base!V118)</x:f>
        <x:v>5.2</x:v>
      </x:c>
      <x:c r="O84" s="5" t="n">
        <x:f>SUM(Rutas_Base!H118)</x:f>
        <x:v>5.2</x:v>
      </x:c>
      <x:c r="P84" s="5" t="n">
        <x:f>ROUND(L84+N84,2)</x:f>
        <x:v>5.2</x:v>
      </x:c>
      <x:c r="Q84" s="5" t="n">
        <x:f>ROUND(O84-P84,2)</x:f>
        <x:v>0</x:v>
      </x:c>
      <x:c r="R84" s="5" t="n">
        <x:f>SUM(Rutas_Base!L118)</x:f>
        <x:v>18.02</x:v>
      </x:c>
      <x:c r="S84" s="5" t="n">
        <x:f>ROUND(P84/Vehiculos!$E$2*Vehiculos!$F$2,2)</x:f>
        <x:v>18.02</x:v>
      </x:c>
      <x:c r="T84" s="5" t="n">
        <x:f>ROUND(R84-S84,2)</x:f>
        <x:v>0</x:v>
      </x:c>
      <x:c r="U84" s="5" t="n">
        <x:f>SUM(Rutas_Base!O118)</x:f>
        <x:v>14</x:v>
      </x:c>
      <x:c r="V84" s="5" t="n">
        <x:f>ROUND(P84/Vehiculos!$G$2*60+H84*8,0)</x:f>
        <x:v>14</x:v>
      </x:c>
      <x:c r="W84" s="5" t="n">
        <x:f>U84-V84</x:f>
        <x:v>0</x:v>
      </x:c>
      <x:c r="X84" s="1" t="n">
        <x:f>Vehiculos!$D$2</x:f>
        <x:v>12</x:v>
      </x:c>
      <x:c r="Y84" s="1" t="str">
        <x:f>IF(H84&lt;=X84,"Sí","No")</x:f>
        <x:v>Sí</x:v>
      </x:c>
      <x:c r="Z84" s="1" t="str">
        <x:f>IF(V84&lt;=Parametros_Operacion!$H$13,"Sí","No")</x:f>
        <x:v>Sí</x:v>
      </x:c>
      <x:c r="AA84" s="1" t="str">
        <x:f>IF(Q84&gt;0,"Ahorro por ruta compartida","Sin ahorro: recorrido equivalente")</x:f>
        <x:v>Sin ahorro: recorrido equivalente</x:v>
      </x:c>
    </x:row>
    <x:row r="85">
      <x:c r="A85" s="1" t="str">
        <x:v>PL-20260527-Z2</x:v>
      </x:c>
      <x:c r="B85" s="1" t="str">
        <x:v>2026-05-27</x:v>
      </x:c>
      <x:c r="C85" s="1" t="str">
        <x:v>Z2</x:v>
      </x:c>
      <x:c r="D85" s="1" t="str">
        <x:v>San Francisco</x:v>
      </x:c>
      <x:c r="E85" s="1" t="str">
        <x:v>R004</x:v>
      </x:c>
      <x:c r="F85" s="1" t="str">
        <x:v>Daniela Cruz</x:v>
      </x:c>
      <x:c r="G85" s="1" t="str">
        <x:v>V004</x:v>
      </x:c>
      <x:c r="H85" s="1" t="n">
        <x:v>1</x:v>
      </x:c>
      <x:c r="I85" s="1" t="str">
        <x:v>RT-20260527-R005</x:v>
      </x:c>
      <x:c r="J85" s="1" t="n">
        <x:v>1</x:v>
      </x:c>
      <x:c r="K85" s="5" t="n">
        <x:f>SUM(Rutas_Base!T121,Rutas_Base!W121)</x:f>
        <x:v>70</x:v>
      </x:c>
      <x:c r="L85" s="5" t="n">
        <x:f>2*MAX(Parametros_Operacion!$B$8)</x:f>
        <x:v>70</x:v>
      </x:c>
      <x:c r="M85" s="5" t="n">
        <x:f>SUM(Rutas_Base!U121)</x:f>
        <x:v>5.68</x:v>
      </x:c>
      <x:c r="N85" s="5" t="n">
        <x:f>SUM(Rutas_Base!V121)</x:f>
        <x:v>5.68</x:v>
      </x:c>
      <x:c r="O85" s="5" t="n">
        <x:f>SUM(Rutas_Base!H121)</x:f>
        <x:v>75.68</x:v>
      </x:c>
      <x:c r="P85" s="5" t="n">
        <x:f>ROUND(L85+N85,2)</x:f>
        <x:v>75.68</x:v>
      </x:c>
      <x:c r="Q85" s="5" t="n">
        <x:f>ROUND(O85-P85,2)</x:f>
        <x:v>0</x:v>
      </x:c>
      <x:c r="R85" s="5" t="n">
        <x:f>SUM(Rutas_Base!L121)</x:f>
        <x:v>360.67</x:v>
      </x:c>
      <x:c r="S85" s="5" t="n">
        <x:f>ROUND(P85/Vehiculos!$E$5*Vehiculos!$F$5,2)</x:f>
        <x:v>274.79</x:v>
      </x:c>
      <x:c r="T85" s="5" t="n">
        <x:f>ROUND(R85-S85,2)</x:f>
        <x:v>85.88</x:v>
      </x:c>
      <x:c r="U85" s="5" t="n">
        <x:f>SUM(Rutas_Base!O121)</x:f>
        <x:v>114</x:v>
      </x:c>
      <x:c r="V85" s="5" t="n">
        <x:f>ROUND(P85/Vehiculos!$G$5*60+H85*8,0)</x:f>
        <x:v>101</x:v>
      </x:c>
      <x:c r="W85" s="5" t="n">
        <x:f>U85-V85</x:f>
        <x:v>13</x:v>
      </x:c>
      <x:c r="X85" s="1" t="n">
        <x:f>Vehiculos!$D$5</x:f>
        <x:v>12</x:v>
      </x:c>
      <x:c r="Y85" s="1" t="str">
        <x:f>IF(H85&lt;=X85,"Sí","No")</x:f>
        <x:v>Sí</x:v>
      </x:c>
      <x:c r="Z85" s="1" t="str">
        <x:f>IF(V85&lt;=Parametros_Operacion!$H$13,"Sí","No")</x:f>
        <x:v>Sí</x:v>
      </x:c>
      <x:c r="AA85" s="1" t="str">
        <x:f>IF(Q85&gt;0,"Ahorro por ruta compartida","Sin ahorro: recorrido equivalente")</x:f>
        <x:v>Sin ahorro: recorrido equivalente</x:v>
      </x:c>
    </x:row>
    <x:row r="86">
      <x:c r="A86" s="1" t="str">
        <x:v>PL-20260527-Z3</x:v>
      </x:c>
      <x:c r="B86" s="1" t="str">
        <x:v>2026-05-27</x:v>
      </x:c>
      <x:c r="C86" s="1" t="str">
        <x:v>Z3</x:v>
      </x:c>
      <x:c r="D86" s="1" t="str">
        <x:v>La Masica + Esparta</x:v>
      </x:c>
      <x:c r="E86" s="1" t="str">
        <x:v>R007</x:v>
      </x:c>
      <x:c r="F86" s="1" t="str">
        <x:v>María Hernández</x:v>
      </x:c>
      <x:c r="G86" s="1" t="str">
        <x:v>V007</x:v>
      </x:c>
      <x:c r="H86" s="1" t="n">
        <x:v>5</x:v>
      </x:c>
      <x:c r="I86" s="1" t="str">
        <x:v>RT-20260527-R004 + RT-20260527-R007</x:v>
      </x:c>
      <x:c r="J86" s="1" t="n">
        <x:v>2</x:v>
      </x:c>
      <x:c r="K86" s="5" t="n">
        <x:f>SUM(Rutas_Base!T120,Rutas_Base!W120,Rutas_Base!T122,Rutas_Base!W122)</x:f>
        <x:v>233.4</x:v>
      </x:c>
      <x:c r="L86" s="5" t="n">
        <x:f>2*MAX(Parametros_Operacion!$B$7,Parametros_Operacion!$B$4)</x:f>
        <x:v>151</x:v>
      </x:c>
      <x:c r="M86" s="5" t="n">
        <x:f>SUM(Rutas_Base!U120,Rutas_Base!U122)</x:f>
        <x:v>26.009999999999998</x:v>
      </x:c>
      <x:c r="N86" s="5" t="n">
        <x:f>SUM(Rutas_Base!V120,Rutas_Base!V122)</x:f>
        <x:v>24.83</x:v>
      </x:c>
      <x:c r="O86" s="5" t="n">
        <x:f>SUM(Rutas_Base!H120,Rutas_Base!H122)</x:f>
        <x:v>259.41</x:v>
      </x:c>
      <x:c r="P86" s="5" t="n">
        <x:f>ROUND(L86+N86,2)</x:f>
        <x:v>175.83</x:v>
      </x:c>
      <x:c r="Q86" s="5" t="n">
        <x:f>ROUND(O86-P86,2)</x:f>
        <x:v>83.58</x:v>
      </x:c>
      <x:c r="R86" s="5" t="n">
        <x:f>SUM(Rutas_Base!L120,Rutas_Base!L122)</x:f>
        <x:v>972.1700000000001</x:v>
      </x:c>
      <x:c r="S86" s="5" t="n">
        <x:f>ROUND(P86/Vehiculos!$E$8*Vehiculos!$F$8,2)</x:f>
        <x:v>670.36</x:v>
      </x:c>
      <x:c r="T86" s="5" t="n">
        <x:f>ROUND(R86-S86,2)</x:f>
        <x:v>301.81</x:v>
      </x:c>
      <x:c r="U86" s="5" t="n">
        <x:f>SUM(Rutas_Base!O120,Rutas_Base!O122)</x:f>
        <x:v>371</x:v>
      </x:c>
      <x:c r="V86" s="5" t="n">
        <x:f>ROUND(P86/Vehiculos!$G$8*60+H86*8,0)</x:f>
        <x:v>269</x:v>
      </x:c>
      <x:c r="W86" s="5" t="n">
        <x:f>U86-V86</x:f>
        <x:v>102</x:v>
      </x:c>
      <x:c r="X86" s="1" t="n">
        <x:f>Vehiculos!$D$8</x:f>
        <x:v>12</x:v>
      </x:c>
      <x:c r="Y86" s="1" t="str">
        <x:f>IF(H86&lt;=X86,"Sí","No")</x:f>
        <x:v>Sí</x:v>
      </x:c>
      <x:c r="Z86" s="1" t="str">
        <x:f>IF(V86&lt;=Parametros_Operacion!$H$13,"Sí","No")</x:f>
        <x:v>Sí</x:v>
      </x:c>
      <x:c r="AA86" s="1" t="str">
        <x:f>IF(Q86&gt;0,"Ahorro por ruta compartida","Sin ahorro: recorrido equivalente")</x:f>
        <x:v>Ahorro por ruta compartida</x:v>
      </x:c>
    </x:row>
    <x:row r="87">
      <x:c r="A87" s="1" t="str">
        <x:v>PL-20260527-Z4</x:v>
      </x:c>
      <x:c r="B87" s="1" t="str">
        <x:v>2026-05-27</x:v>
      </x:c>
      <x:c r="C87" s="1" t="str">
        <x:v>Z4</x:v>
      </x:c>
      <x:c r="D87" s="1" t="str">
        <x:v>Tela</x:v>
      </x:c>
      <x:c r="E87" s="1" t="str">
        <x:v>R002</x:v>
      </x:c>
      <x:c r="F87" s="1" t="str">
        <x:v>Ana López</x:v>
      </x:c>
      <x:c r="G87" s="1" t="str">
        <x:v>V002</x:v>
      </x:c>
      <x:c r="H87" s="1" t="n">
        <x:v>2</x:v>
      </x:c>
      <x:c r="I87" s="1" t="str">
        <x:v>RT-20260527-R002</x:v>
      </x:c>
      <x:c r="J87" s="1" t="n">
        <x:v>1</x:v>
      </x:c>
      <x:c r="K87" s="5" t="n">
        <x:f>SUM(Rutas_Base!T119,Rutas_Base!W119)</x:f>
        <x:v>204.6</x:v>
      </x:c>
      <x:c r="L87" s="5" t="n">
        <x:f>2*MAX(Parametros_Operacion!$B$9)</x:f>
        <x:v>204.6</x:v>
      </x:c>
      <x:c r="M87" s="5" t="n">
        <x:f>SUM(Rutas_Base!U119)</x:f>
        <x:v>9.3</x:v>
      </x:c>
      <x:c r="N87" s="5" t="n">
        <x:f>SUM(Rutas_Base!V119)</x:f>
        <x:v>9.3</x:v>
      </x:c>
      <x:c r="O87" s="5" t="n">
        <x:f>SUM(Rutas_Base!H119)</x:f>
        <x:v>213.9</x:v>
      </x:c>
      <x:c r="P87" s="5" t="n">
        <x:f>ROUND(L87+N87,2)</x:f>
        <x:v>213.9</x:v>
      </x:c>
      <x:c r="Q87" s="5" t="n">
        <x:f>ROUND(O87-P87,2)</x:f>
        <x:v>0</x:v>
      </x:c>
      <x:c r="R87" s="5" t="n">
        <x:f>SUM(Rutas_Base!L119)</x:f>
        <x:v>776.66</x:v>
      </x:c>
      <x:c r="S87" s="5" t="n">
        <x:f>ROUND(P87/Vehiculos!$E$3*Vehiculos!$F$3,2)</x:f>
        <x:v>776.67</x:v>
      </x:c>
      <x:c r="T87" s="5" t="n">
        <x:f>ROUND(R87-S87,2)</x:f>
        <x:v>-0.01</x:v>
      </x:c>
      <x:c r="U87" s="5" t="n">
        <x:f>SUM(Rutas_Base!O119)</x:f>
        <x:v>283</x:v>
      </x:c>
      <x:c r="V87" s="5" t="n">
        <x:f>ROUND(P87/Vehiculos!$G$3*60+H87*8,0)</x:f>
        <x:v>283</x:v>
      </x:c>
      <x:c r="W87" s="5" t="n">
        <x:f>U87-V87</x:f>
        <x:v>0</x:v>
      </x:c>
      <x:c r="X87" s="1" t="n">
        <x:f>Vehiculos!$D$3</x:f>
        <x:v>12</x:v>
      </x:c>
      <x:c r="Y87" s="1" t="str">
        <x:f>IF(H87&lt;=X87,"Sí","No")</x:f>
        <x:v>Sí</x:v>
      </x:c>
      <x:c r="Z87" s="1" t="str">
        <x:f>IF(V87&lt;=Parametros_Operacion!$H$13,"Sí","No")</x:f>
        <x:v>Sí</x:v>
      </x:c>
      <x:c r="AA87" s="1" t="str">
        <x:f>IF(Q87&gt;0,"Ahorro por ruta compartida","Sin ahorro: recorrido equivalente")</x:f>
        <x:v>Sin ahorro: recorrido equivalente</x:v>
      </x:c>
    </x:row>
    <x:row r="88">
      <x:c r="A88" s="1" t="str">
        <x:v>PL-20260528-Z3</x:v>
      </x:c>
      <x:c r="B88" s="1" t="str">
        <x:v>2026-05-28</x:v>
      </x:c>
      <x:c r="C88" s="1" t="str">
        <x:v>Z3</x:v>
      </x:c>
      <x:c r="D88" s="1" t="str">
        <x:v>La Masica + Esparta</x:v>
      </x:c>
      <x:c r="E88" s="1" t="str">
        <x:v>R007</x:v>
      </x:c>
      <x:c r="F88" s="1" t="str">
        <x:v>María Hernández</x:v>
      </x:c>
      <x:c r="G88" s="1" t="str">
        <x:v>V007</x:v>
      </x:c>
      <x:c r="H88" s="1" t="n">
        <x:v>4</x:v>
      </x:c>
      <x:c r="I88" s="1" t="str">
        <x:v>RT-20260528-R004 + RT-20260528-R007</x:v>
      </x:c>
      <x:c r="J88" s="1" t="n">
        <x:v>2</x:v>
      </x:c>
      <x:c r="K88" s="5" t="n">
        <x:f>SUM(Rutas_Base!T123,Rutas_Base!W123,Rutas_Base!T124,Rutas_Base!W124)</x:f>
        <x:v>233.4</x:v>
      </x:c>
      <x:c r="L88" s="5" t="n">
        <x:f>2*MAX(Parametros_Operacion!$B$7,Parametros_Operacion!$B$4)</x:f>
        <x:v>151</x:v>
      </x:c>
      <x:c r="M88" s="5" t="n">
        <x:f>SUM(Rutas_Base!U123,Rutas_Base!U124)</x:f>
        <x:v>21.740000000000002</x:v>
      </x:c>
      <x:c r="N88" s="5" t="n">
        <x:f>SUM(Rutas_Base!V123,Rutas_Base!V124)</x:f>
        <x:v>21.72</x:v>
      </x:c>
      <x:c r="O88" s="5" t="n">
        <x:f>SUM(Rutas_Base!H123,Rutas_Base!H124)</x:f>
        <x:v>255.14000000000001</x:v>
      </x:c>
      <x:c r="P88" s="5" t="n">
        <x:f>ROUND(L88+N88,2)</x:f>
        <x:v>172.72</x:v>
      </x:c>
      <x:c r="Q88" s="5" t="n">
        <x:f>ROUND(O88-P88,2)</x:f>
        <x:v>82.42</x:v>
      </x:c>
      <x:c r="R88" s="5" t="n">
        <x:f>SUM(Rutas_Base!L123,Rutas_Base!L124)</x:f>
        <x:v>954.98</x:v>
      </x:c>
      <x:c r="S88" s="5" t="n">
        <x:f>ROUND(P88/Vehiculos!$E$8*Vehiculos!$F$8,2)</x:f>
        <x:v>658.5</x:v>
      </x:c>
      <x:c r="T88" s="5" t="n">
        <x:f>ROUND(R88-S88,2)</x:f>
        <x:v>296.48</x:v>
      </x:c>
      <x:c r="U88" s="5" t="n">
        <x:f>SUM(Rutas_Base!O123,Rutas_Base!O124)</x:f>
        <x:v>357</x:v>
      </x:c>
      <x:c r="V88" s="5" t="n">
        <x:f>ROUND(P88/Vehiculos!$G$8*60+H88*8,0)</x:f>
        <x:v>257</x:v>
      </x:c>
      <x:c r="W88" s="5" t="n">
        <x:f>U88-V88</x:f>
        <x:v>100</x:v>
      </x:c>
      <x:c r="X88" s="1" t="n">
        <x:f>Vehiculos!$D$8</x:f>
        <x:v>12</x:v>
      </x:c>
      <x:c r="Y88" s="1" t="str">
        <x:f>IF(H88&lt;=X88,"Sí","No")</x:f>
        <x:v>Sí</x:v>
      </x:c>
      <x:c r="Z88" s="1" t="str">
        <x:f>IF(V88&lt;=Parametros_Operacion!$H$13,"Sí","No")</x:f>
        <x:v>Sí</x:v>
      </x:c>
      <x:c r="AA88" s="1" t="str">
        <x:f>IF(Q88&gt;0,"Ahorro por ruta compartida","Sin ahorro: recorrido equivalente")</x:f>
        <x:v>Ahorro por ruta compartida</x:v>
      </x:c>
    </x:row>
    <x:row r="89">
      <x:c r="A89" s="1" t="str">
        <x:v>PL-20260529-Z1</x:v>
      </x:c>
      <x:c r="B89" s="1" t="str">
        <x:v>2026-05-29</x:v>
      </x:c>
      <x:c r="C89" s="1" t="str">
        <x:v>Z1</x:v>
      </x:c>
      <x:c r="D89" s="1" t="str">
        <x:v>Jutiapa</x:v>
      </x:c>
      <x:c r="E89" s="1" t="str">
        <x:v>R001</x:v>
      </x:c>
      <x:c r="F89" s="1" t="str">
        <x:v>Carlos Mejía</x:v>
      </x:c>
      <x:c r="G89" s="1" t="str">
        <x:v>V001</x:v>
      </x:c>
      <x:c r="H89" s="1" t="n">
        <x:v>1</x:v>
      </x:c>
      <x:c r="I89" s="1" t="str">
        <x:v>RT-20260529-R003</x:v>
      </x:c>
      <x:c r="J89" s="1" t="n">
        <x:v>1</x:v>
      </x:c>
      <x:c r="K89" s="5" t="n">
        <x:f>SUM(Rutas_Base!T126,Rutas_Base!W126)</x:f>
        <x:v>62.8</x:v>
      </x:c>
      <x:c r="L89" s="5" t="n">
        <x:f>2*MAX(Parametros_Operacion!$B$5)</x:f>
        <x:v>62.8</x:v>
      </x:c>
      <x:c r="M89" s="5" t="n">
        <x:f>SUM(Rutas_Base!U126)</x:f>
        <x:v>5.24</x:v>
      </x:c>
      <x:c r="N89" s="5" t="n">
        <x:f>SUM(Rutas_Base!V126)</x:f>
        <x:v>5.24</x:v>
      </x:c>
      <x:c r="O89" s="5" t="n">
        <x:f>SUM(Rutas_Base!H126)</x:f>
        <x:v>68.04</x:v>
      </x:c>
      <x:c r="P89" s="5" t="n">
        <x:f>ROUND(L89+N89,2)</x:f>
        <x:v>68.04</x:v>
      </x:c>
      <x:c r="Q89" s="5" t="n">
        <x:f>ROUND(O89-P89,2)</x:f>
        <x:v>0</x:v>
      </x:c>
      <x:c r="R89" s="5" t="n">
        <x:f>SUM(Rutas_Base!L126)</x:f>
        <x:v>259.4</x:v>
      </x:c>
      <x:c r="S89" s="5" t="n">
        <x:f>ROUND(P89/Vehiculos!$E$2*Vehiculos!$F$2,2)</x:f>
        <x:v>235.82</x:v>
      </x:c>
      <x:c r="T89" s="5" t="n">
        <x:f>ROUND(R89-S89,2)</x:f>
        <x:v>23.58</x:v>
      </x:c>
      <x:c r="U89" s="5" t="n">
        <x:f>SUM(Rutas_Base!O126)</x:f>
        <x:v>95</x:v>
      </x:c>
      <x:c r="V89" s="5" t="n">
        <x:f>ROUND(P89/Vehiculos!$G$2*60+H89*8,0)</x:f>
        <x:v>90</x:v>
      </x:c>
      <x:c r="W89" s="5" t="n">
        <x:f>U89-V89</x:f>
        <x:v>5</x:v>
      </x:c>
      <x:c r="X89" s="1" t="n">
        <x:f>Vehiculos!$D$2</x:f>
        <x:v>12</x:v>
      </x:c>
      <x:c r="Y89" s="1" t="str">
        <x:f>IF(H89&lt;=X89,"Sí","No")</x:f>
        <x:v>Sí</x:v>
      </x:c>
      <x:c r="Z89" s="1" t="str">
        <x:f>IF(V89&lt;=Parametros_Operacion!$H$13,"Sí","No")</x:f>
        <x:v>Sí</x:v>
      </x:c>
      <x:c r="AA89" s="1" t="str">
        <x:f>IF(Q89&gt;0,"Ahorro por ruta compartida","Sin ahorro: recorrido equivalente")</x:f>
        <x:v>Sin ahorro: recorrido equivalente</x:v>
      </x:c>
    </x:row>
    <x:row r="90">
      <x:c r="A90" s="1" t="str">
        <x:v>PL-20260529-Z2</x:v>
      </x:c>
      <x:c r="B90" s="1" t="str">
        <x:v>2026-05-29</x:v>
      </x:c>
      <x:c r="C90" s="1" t="str">
        <x:v>Z2</x:v>
      </x:c>
      <x:c r="D90" s="1" t="str">
        <x:v>El Porvenir</x:v>
      </x:c>
      <x:c r="E90" s="1" t="str">
        <x:v>R004</x:v>
      </x:c>
      <x:c r="F90" s="1" t="str">
        <x:v>Daniela Cruz</x:v>
      </x:c>
      <x:c r="G90" s="1" t="str">
        <x:v>V004</x:v>
      </x:c>
      <x:c r="H90" s="1" t="n">
        <x:v>1</x:v>
      </x:c>
      <x:c r="I90" s="1" t="str">
        <x:v>RT-20260529-R008</x:v>
      </x:c>
      <x:c r="J90" s="1" t="n">
        <x:v>1</x:v>
      </x:c>
      <x:c r="K90" s="5" t="n">
        <x:f>SUM(Rutas_Base!T130,Rutas_Base!W130)</x:f>
        <x:v>33</x:v>
      </x:c>
      <x:c r="L90" s="5" t="n">
        <x:f>2*MAX(Parametros_Operacion!$B$3)</x:f>
        <x:v>33</x:v>
      </x:c>
      <x:c r="M90" s="5" t="n">
        <x:f>SUM(Rutas_Base!U130)</x:f>
        <x:v>3.02</x:v>
      </x:c>
      <x:c r="N90" s="5" t="n">
        <x:f>SUM(Rutas_Base!V130)</x:f>
        <x:v>3.02</x:v>
      </x:c>
      <x:c r="O90" s="5" t="n">
        <x:f>SUM(Rutas_Base!H130)</x:f>
        <x:v>36.02</x:v>
      </x:c>
      <x:c r="P90" s="5" t="n">
        <x:f>ROUND(L90+N90,2)</x:f>
        <x:v>36.02</x:v>
      </x:c>
      <x:c r="Q90" s="5" t="n">
        <x:f>ROUND(O90-P90,2)</x:f>
        <x:v>0</x:v>
      </x:c>
      <x:c r="R90" s="5" t="n">
        <x:f>SUM(Rutas_Base!L130)</x:f>
        <x:v>183.1</x:v>
      </x:c>
      <x:c r="S90" s="5" t="n">
        <x:f>ROUND(P90/Vehiculos!$E$5*Vehiculos!$F$5,2)</x:f>
        <x:v>130.79</x:v>
      </x:c>
      <x:c r="T90" s="5" t="n">
        <x:f>ROUND(R90-S90,2)</x:f>
        <x:v>52.31</x:v>
      </x:c>
      <x:c r="U90" s="5" t="n">
        <x:f>SUM(Rutas_Base!O130)</x:f>
        <x:v>59</x:v>
      </x:c>
      <x:c r="V90" s="5" t="n">
        <x:f>ROUND(P90/Vehiculos!$G$5*60+H90*8,0)</x:f>
        <x:v>52</x:v>
      </x:c>
      <x:c r="W90" s="5" t="n">
        <x:f>U90-V90</x:f>
        <x:v>7</x:v>
      </x:c>
      <x:c r="X90" s="1" t="n">
        <x:f>Vehiculos!$D$5</x:f>
        <x:v>12</x:v>
      </x:c>
      <x:c r="Y90" s="1" t="str">
        <x:f>IF(H90&lt;=X90,"Sí","No")</x:f>
        <x:v>Sí</x:v>
      </x:c>
      <x:c r="Z90" s="1" t="str">
        <x:f>IF(V90&lt;=Parametros_Operacion!$H$13,"Sí","No")</x:f>
        <x:v>Sí</x:v>
      </x:c>
      <x:c r="AA90" s="1" t="str">
        <x:f>IF(Q90&gt;0,"Ahorro por ruta compartida","Sin ahorro: recorrido equivalente")</x:f>
        <x:v>Sin ahorro: recorrido equivalente</x:v>
      </x:c>
    </x:row>
    <x:row r="91">
      <x:c r="A91" s="1" t="str">
        <x:v>PL-20260529-Z3</x:v>
      </x:c>
      <x:c r="B91" s="1" t="str">
        <x:v>2026-05-29</x:v>
      </x:c>
      <x:c r="C91" s="1" t="str">
        <x:v>Z3</x:v>
      </x:c>
      <x:c r="D91" s="1" t="str">
        <x:v>La Masica + Esparta</x:v>
      </x:c>
      <x:c r="E91" s="1" t="str">
        <x:v>R007</x:v>
      </x:c>
      <x:c r="F91" s="1" t="str">
        <x:v>María Hernández</x:v>
      </x:c>
      <x:c r="G91" s="1" t="str">
        <x:v>V007</x:v>
      </x:c>
      <x:c r="H91" s="1" t="n">
        <x:v>2</x:v>
      </x:c>
      <x:c r="I91" s="1" t="str">
        <x:v>RT-20260529-R004 + RT-20260529-R007</x:v>
      </x:c>
      <x:c r="J91" s="1" t="n">
        <x:v>2</x:v>
      </x:c>
      <x:c r="K91" s="5" t="n">
        <x:f>SUM(Rutas_Base!T127,Rutas_Base!W127,Rutas_Base!T129,Rutas_Base!W129)</x:f>
        <x:v>233.4</x:v>
      </x:c>
      <x:c r="L91" s="5" t="n">
        <x:f>2*MAX(Parametros_Operacion!$B$7,Parametros_Operacion!$B$4)</x:f>
        <x:v>151</x:v>
      </x:c>
      <x:c r="M91" s="5" t="n">
        <x:f>SUM(Rutas_Base!U127,Rutas_Base!U129)</x:f>
        <x:v>9.719999999999999</x:v>
      </x:c>
      <x:c r="N91" s="5" t="n">
        <x:f>SUM(Rutas_Base!V127,Rutas_Base!V129)</x:f>
        <x:v>9.719999999999999</x:v>
      </x:c>
      <x:c r="O91" s="5" t="n">
        <x:f>SUM(Rutas_Base!H127,Rutas_Base!H129)</x:f>
        <x:v>243.12</x:v>
      </x:c>
      <x:c r="P91" s="5" t="n">
        <x:f>ROUND(L91+N91,2)</x:f>
        <x:v>160.72</x:v>
      </x:c>
      <x:c r="Q91" s="5" t="n">
        <x:f>ROUND(O91-P91,2)</x:f>
        <x:v>82.4</x:v>
      </x:c>
      <x:c r="R91" s="5" t="n">
        <x:f>SUM(Rutas_Base!L127,Rutas_Base!L129)</x:f>
        <x:v>911.44</x:v>
      </x:c>
      <x:c r="S91" s="5" t="n">
        <x:f>ROUND(P91/Vehiculos!$E$8*Vehiculos!$F$8,2)</x:f>
        <x:v>612.75</x:v>
      </x:c>
      <x:c r="T91" s="5" t="n">
        <x:f>ROUND(R91-S91,2)</x:f>
        <x:v>298.69</x:v>
      </x:c>
      <x:c r="U91" s="5" t="n">
        <x:f>SUM(Rutas_Base!O127,Rutas_Base!O129)</x:f>
        <x:v>326</x:v>
      </x:c>
      <x:c r="V91" s="5" t="n">
        <x:f>ROUND(P91/Vehiculos!$G$8*60+H91*8,0)</x:f>
        <x:v>226</x:v>
      </x:c>
      <x:c r="W91" s="5" t="n">
        <x:f>U91-V91</x:f>
        <x:v>100</x:v>
      </x:c>
      <x:c r="X91" s="1" t="n">
        <x:f>Vehiculos!$D$8</x:f>
        <x:v>12</x:v>
      </x:c>
      <x:c r="Y91" s="1" t="str">
        <x:f>IF(H91&lt;=X91,"Sí","No")</x:f>
        <x:v>Sí</x:v>
      </x:c>
      <x:c r="Z91" s="1" t="str">
        <x:f>IF(V91&lt;=Parametros_Operacion!$H$13,"Sí","No")</x:f>
        <x:v>Sí</x:v>
      </x:c>
      <x:c r="AA91" s="1" t="str">
        <x:f>IF(Q91&gt;0,"Ahorro por ruta compartida","Sin ahorro: recorrido equivalente")</x:f>
        <x:v>Ahorro por ruta compartida</x:v>
      </x:c>
    </x:row>
    <x:row r="92">
      <x:c r="A92" s="1" t="str">
        <x:v>PL-20260529-Z4</x:v>
      </x:c>
      <x:c r="B92" s="1" t="str">
        <x:v>2026-05-29</x:v>
      </x:c>
      <x:c r="C92" s="1" t="str">
        <x:v>Z4</x:v>
      </x:c>
      <x:c r="D92" s="1" t="str">
        <x:v>Arizona + Tela</x:v>
      </x:c>
      <x:c r="E92" s="1" t="str">
        <x:v>R002</x:v>
      </x:c>
      <x:c r="F92" s="1" t="str">
        <x:v>Ana López</x:v>
      </x:c>
      <x:c r="G92" s="1" t="str">
        <x:v>V002</x:v>
      </x:c>
      <x:c r="H92" s="1" t="n">
        <x:v>3</x:v>
      </x:c>
      <x:c r="I92" s="1" t="str">
        <x:v>RT-20260529-R006 + RT-20260529-R002</x:v>
      </x:c>
      <x:c r="J92" s="1" t="n">
        <x:v>2</x:v>
      </x:c>
      <x:c r="K92" s="5" t="n">
        <x:f>SUM(Rutas_Base!T128,Rutas_Base!W128,Rutas_Base!T125,Rutas_Base!W125)</x:f>
        <x:v>349.6</x:v>
      </x:c>
      <x:c r="L92" s="5" t="n">
        <x:f>2*MAX(Parametros_Operacion!$B$2,Parametros_Operacion!$B$9)</x:f>
        <x:v>204.6</x:v>
      </x:c>
      <x:c r="M92" s="5" t="n">
        <x:f>SUM(Rutas_Base!U128,Rutas_Base!U125)</x:f>
        <x:v>17.490000000000002</x:v>
      </x:c>
      <x:c r="N92" s="5" t="n">
        <x:f>SUM(Rutas_Base!V128,Rutas_Base!V125)</x:f>
        <x:v>17.490000000000002</x:v>
      </x:c>
      <x:c r="O92" s="5" t="n">
        <x:f>SUM(Rutas_Base!H128,Rutas_Base!H125)</x:f>
        <x:v>367.09000000000003</x:v>
      </x:c>
      <x:c r="P92" s="5" t="n">
        <x:f>ROUND(L92+N92,2)</x:f>
        <x:v>222.09</x:v>
      </x:c>
      <x:c r="Q92" s="5" t="n">
        <x:f>ROUND(O92-P92,2)</x:f>
        <x:v>145</x:v>
      </x:c>
      <x:c r="R92" s="5" t="n">
        <x:f>SUM(Rutas_Base!L128,Rutas_Base!L125)</x:f>
        <x:v>1360.88</x:v>
      </x:c>
      <x:c r="S92" s="5" t="n">
        <x:f>ROUND(P92/Vehiculos!$E$3*Vehiculos!$F$3,2)</x:f>
        <x:v>806.4</x:v>
      </x:c>
      <x:c r="T92" s="5" t="n">
        <x:f>ROUND(R92-S92,2)</x:f>
        <x:v>554.48</x:v>
      </x:c>
      <x:c r="U92" s="5" t="n">
        <x:f>SUM(Rutas_Base!O128,Rutas_Base!O125)</x:f>
        <x:v>487</x:v>
      </x:c>
      <x:c r="V92" s="5" t="n">
        <x:f>ROUND(P92/Vehiculos!$G$3*60+H92*8,0)</x:f>
        <x:v>302</x:v>
      </x:c>
      <x:c r="W92" s="5" t="n">
        <x:f>U92-V92</x:f>
        <x:v>185</x:v>
      </x:c>
      <x:c r="X92" s="1" t="n">
        <x:f>Vehiculos!$D$3</x:f>
        <x:v>12</x:v>
      </x:c>
      <x:c r="Y92" s="1" t="str">
        <x:f>IF(H92&lt;=X92,"Sí","No")</x:f>
        <x:v>Sí</x:v>
      </x:c>
      <x:c r="Z92" s="1" t="str">
        <x:f>IF(V92&lt;=Parametros_Operacion!$H$13,"Sí","No")</x:f>
        <x:v>Sí</x:v>
      </x:c>
      <x:c r="AA92" s="1" t="str">
        <x:f>IF(Q92&gt;0,"Ahorro por ruta compartida","Sin ahorro: recorrido equivalente")</x:f>
        <x:v>Ahorro por ruta compartida</x:v>
      </x:c>
    </x:row>
    <x:row r="93">
      <x:c r="A93" s="1" t="str">
        <x:v>PL-20260530-Z1</x:v>
      </x:c>
      <x:c r="B93" s="1" t="str">
        <x:v>2026-05-30</x:v>
      </x:c>
      <x:c r="C93" s="1" t="str">
        <x:v>Z1</x:v>
      </x:c>
      <x:c r="D93" s="1" t="str">
        <x:v>La Ceiba + Jutiapa</x:v>
      </x:c>
      <x:c r="E93" s="1" t="str">
        <x:v>R001</x:v>
      </x:c>
      <x:c r="F93" s="1" t="str">
        <x:v>Carlos Mejía</x:v>
      </x:c>
      <x:c r="G93" s="1" t="str">
        <x:v>V001</x:v>
      </x:c>
      <x:c r="H93" s="1" t="n">
        <x:v>2</x:v>
      </x:c>
      <x:c r="I93" s="1" t="str">
        <x:v>RT-20260530-R001 + RT-20260530-R003</x:v>
      </x:c>
      <x:c r="J93" s="1" t="n">
        <x:v>2</x:v>
      </x:c>
      <x:c r="K93" s="5" t="n">
        <x:f>SUM(Rutas_Base!T131,Rutas_Base!W131,Rutas_Base!T132,Rutas_Base!W132)</x:f>
        <x:v>62.8</x:v>
      </x:c>
      <x:c r="L93" s="5" t="n">
        <x:f>2*MAX(Parametros_Operacion!$B$6,Parametros_Operacion!$B$5)</x:f>
        <x:v>62.8</x:v>
      </x:c>
      <x:c r="M93" s="5" t="n">
        <x:f>SUM(Rutas_Base!U131,Rutas_Base!U132)</x:f>
        <x:v>15</x:v>
      </x:c>
      <x:c r="N93" s="5" t="n">
        <x:f>SUM(Rutas_Base!V131,Rutas_Base!V132)</x:f>
        <x:v>15</x:v>
      </x:c>
      <x:c r="O93" s="5" t="n">
        <x:f>SUM(Rutas_Base!H131,Rutas_Base!H132)</x:f>
        <x:v>77.8</x:v>
      </x:c>
      <x:c r="P93" s="5" t="n">
        <x:f>ROUND(L93+N93,2)</x:f>
        <x:v>77.8</x:v>
      </x:c>
      <x:c r="Q93" s="5" t="n">
        <x:f>ROUND(O93-P93,2)</x:f>
        <x:v>0</x:v>
      </x:c>
      <x:c r="R93" s="5" t="n">
        <x:f>SUM(Rutas_Base!L131,Rutas_Base!L132)</x:f>
        <x:v>293.03</x:v>
      </x:c>
      <x:c r="S93" s="5" t="n">
        <x:f>ROUND(P93/Vehiculos!$E$2*Vehiculos!$F$2,2)</x:f>
        <x:v>269.65</x:v>
      </x:c>
      <x:c r="T93" s="5" t="n">
        <x:f>ROUND(R93-S93,2)</x:f>
        <x:v>23.38</x:v>
      </x:c>
      <x:c r="U93" s="5" t="n">
        <x:f>SUM(Rutas_Base!O131,Rutas_Base!O132)</x:f>
        <x:v>114</x:v>
      </x:c>
      <x:c r="V93" s="5" t="n">
        <x:f>ROUND(P93/Vehiculos!$G$2*60+H93*8,0)</x:f>
        <x:v>109</x:v>
      </x:c>
      <x:c r="W93" s="5" t="n">
        <x:f>U93-V93</x:f>
        <x:v>5</x:v>
      </x:c>
      <x:c r="X93" s="1" t="n">
        <x:f>Vehiculos!$D$2</x:f>
        <x:v>12</x:v>
      </x:c>
      <x:c r="Y93" s="1" t="str">
        <x:f>IF(H93&lt;=X93,"Sí","No")</x:f>
        <x:v>Sí</x:v>
      </x:c>
      <x:c r="Z93" s="1" t="str">
        <x:f>IF(V93&lt;=Parametros_Operacion!$H$13,"Sí","No")</x:f>
        <x:v>Sí</x:v>
      </x:c>
      <x:c r="AA93" s="1" t="str">
        <x:f>IF(Q93&gt;0,"Ahorro por ruta compartida","Sin ahorro: recorrido equivalente")</x:f>
        <x:v>Sin ahorro: recorrido equivalente</x:v>
      </x:c>
    </x:row>
    <x:row r="94">
      <x:c r="A94" s="1" t="str">
        <x:v>PL-20260530-Z3</x:v>
      </x:c>
      <x:c r="B94" s="1" t="str">
        <x:v>2026-05-30</x:v>
      </x:c>
      <x:c r="C94" s="1" t="str">
        <x:v>Z3</x:v>
      </x:c>
      <x:c r="D94" s="1" t="str">
        <x:v>La Masica + Esparta</x:v>
      </x:c>
      <x:c r="E94" s="1" t="str">
        <x:v>R007</x:v>
      </x:c>
      <x:c r="F94" s="1" t="str">
        <x:v>María Hernández</x:v>
      </x:c>
      <x:c r="G94" s="1" t="str">
        <x:v>V007</x:v>
      </x:c>
      <x:c r="H94" s="1" t="n">
        <x:v>4</x:v>
      </x:c>
      <x:c r="I94" s="1" t="str">
        <x:v>RT-20260530-R004 + RT-20260530-R007</x:v>
      </x:c>
      <x:c r="J94" s="1" t="n">
        <x:v>2</x:v>
      </x:c>
      <x:c r="K94" s="5" t="n">
        <x:f>SUM(Rutas_Base!T133,Rutas_Base!W133,Rutas_Base!T134,Rutas_Base!W134)</x:f>
        <x:v>233.4</x:v>
      </x:c>
      <x:c r="L94" s="5" t="n">
        <x:f>2*MAX(Parametros_Operacion!$B$7,Parametros_Operacion!$B$4)</x:f>
        <x:v>151</x:v>
      </x:c>
      <x:c r="M94" s="5" t="n">
        <x:f>SUM(Rutas_Base!U133,Rutas_Base!U134)</x:f>
        <x:v>24.66</x:v>
      </x:c>
      <x:c r="N94" s="5" t="n">
        <x:f>SUM(Rutas_Base!V133,Rutas_Base!V134)</x:f>
        <x:v>24.66</x:v>
      </x:c>
      <x:c r="O94" s="5" t="n">
        <x:f>SUM(Rutas_Base!H133,Rutas_Base!H134)</x:f>
        <x:v>258.06</x:v>
      </x:c>
      <x:c r="P94" s="5" t="n">
        <x:f>ROUND(L94+N94,2)</x:f>
        <x:v>175.66</x:v>
      </x:c>
      <x:c r="Q94" s="5" t="n">
        <x:f>ROUND(O94-P94,2)</x:f>
        <x:v>82.4</x:v>
      </x:c>
      <x:c r="R94" s="5" t="n">
        <x:f>SUM(Rutas_Base!L133,Rutas_Base!L134)</x:f>
        <x:v>966.7600000000001</x:v>
      </x:c>
      <x:c r="S94" s="5" t="n">
        <x:f>ROUND(P94/Vehiculos!$E$8*Vehiculos!$F$8,2)</x:f>
        <x:v>669.71</x:v>
      </x:c>
      <x:c r="T94" s="5" t="n">
        <x:f>ROUND(R94-S94,2)</x:f>
        <x:v>297.05</x:v>
      </x:c>
      <x:c r="U94" s="5" t="n">
        <x:f>SUM(Rutas_Base!O133,Rutas_Base!O134)</x:f>
        <x:v>361</x:v>
      </x:c>
      <x:c r="V94" s="5" t="n">
        <x:f>ROUND(P94/Vehiculos!$G$8*60+H94*8,0)</x:f>
        <x:v>261</x:v>
      </x:c>
      <x:c r="W94" s="5" t="n">
        <x:f>U94-V94</x:f>
        <x:v>100</x:v>
      </x:c>
      <x:c r="X94" s="1" t="n">
        <x:f>Vehiculos!$D$8</x:f>
        <x:v>12</x:v>
      </x:c>
      <x:c r="Y94" s="1" t="str">
        <x:f>IF(H94&lt;=X94,"Sí","No")</x:f>
        <x:v>Sí</x:v>
      </x:c>
      <x:c r="Z94" s="1" t="str">
        <x:f>IF(V94&lt;=Parametros_Operacion!$H$13,"Sí","No")</x:f>
        <x:v>Sí</x:v>
      </x:c>
      <x:c r="AA94" s="1" t="str">
        <x:f>IF(Q94&gt;0,"Ahorro por ruta compartida","Sin ahorro: recorrido equivalente")</x:f>
        <x:v>Ahorro por ruta compartida</x:v>
      </x:c>
    </x:row>
    <x:row r="95">
      <x:c r="A95" s="1" t="str">
        <x:v>PL-20260531-Z3</x:v>
      </x:c>
      <x:c r="B95" s="1" t="str">
        <x:v>2026-05-31</x:v>
      </x:c>
      <x:c r="C95" s="1" t="str">
        <x:v>Z3</x:v>
      </x:c>
      <x:c r="D95" s="1" t="str">
        <x:v>La Masica</x:v>
      </x:c>
      <x:c r="E95" s="1" t="str">
        <x:v>R007</x:v>
      </x:c>
      <x:c r="F95" s="1" t="str">
        <x:v>María Hernández</x:v>
      </x:c>
      <x:c r="G95" s="1" t="str">
        <x:v>V007</x:v>
      </x:c>
      <x:c r="H95" s="1" t="n">
        <x:v>3</x:v>
      </x:c>
      <x:c r="I95" s="1" t="str">
        <x:v>RT-20260531-R004</x:v>
      </x:c>
      <x:c r="J95" s="1" t="n">
        <x:v>1</x:v>
      </x:c>
      <x:c r="K95" s="5" t="n">
        <x:f>SUM(Rutas_Base!T136,Rutas_Base!W136)</x:f>
        <x:v>82.4</x:v>
      </x:c>
      <x:c r="L95" s="5" t="n">
        <x:f>2*MAX(Parametros_Operacion!$B$7)</x:f>
        <x:v>82.4</x:v>
      </x:c>
      <x:c r="M95" s="5" t="n">
        <x:f>SUM(Rutas_Base!U136)</x:f>
        <x:v>17.35</x:v>
      </x:c>
      <x:c r="N95" s="5" t="n">
        <x:f>SUM(Rutas_Base!V136)</x:f>
        <x:v>17.35</x:v>
      </x:c>
      <x:c r="O95" s="5" t="n">
        <x:f>SUM(Rutas_Base!H136)</x:f>
        <x:v>99.75</x:v>
      </x:c>
      <x:c r="P95" s="5" t="n">
        <x:f>ROUND(L95+N95,2)</x:f>
        <x:v>99.75</x:v>
      </x:c>
      <x:c r="Q95" s="5" t="n">
        <x:f>ROUND(O95-P95,2)</x:f>
        <x:v>0</x:v>
      </x:c>
      <x:c r="R95" s="5" t="n">
        <x:f>SUM(Rutas_Base!L136)</x:f>
        <x:v>362.20000000000005</x:v>
      </x:c>
      <x:c r="S95" s="5" t="n">
        <x:f>ROUND(P95/Vehiculos!$E$8*Vehiculos!$F$8,2)</x:f>
        <x:v>380.3</x:v>
      </x:c>
      <x:c r="T95" s="5" t="n">
        <x:f>ROUND(R95-S95,2)</x:f>
        <x:v>-18.1</x:v>
      </x:c>
      <x:c r="U95" s="5" t="n">
        <x:f>SUM(Rutas_Base!O136)</x:f>
        <x:v>146</x:v>
      </x:c>
      <x:c r="V95" s="5" t="n">
        <x:f>ROUND(P95/Vehiculos!$G$8*60+H95*8,0)</x:f>
        <x:v>154</x:v>
      </x:c>
      <x:c r="W95" s="5" t="n">
        <x:f>U95-V95</x:f>
        <x:v>-8</x:v>
      </x:c>
      <x:c r="X95" s="1" t="n">
        <x:f>Vehiculos!$D$8</x:f>
        <x:v>12</x:v>
      </x:c>
      <x:c r="Y95" s="1" t="str">
        <x:f>IF(H95&lt;=X95,"Sí","No")</x:f>
        <x:v>Sí</x:v>
      </x:c>
      <x:c r="Z95" s="1" t="str">
        <x:f>IF(V95&lt;=Parametros_Operacion!$H$13,"Sí","No")</x:f>
        <x:v>Sí</x:v>
      </x:c>
      <x:c r="AA95" s="1" t="str">
        <x:f>IF(Q95&gt;0,"Ahorro por ruta compartida","Sin ahorro: recorrido equivalente")</x:f>
        <x:v>Sin ahorro: recorrido equivalente</x:v>
      </x:c>
    </x:row>
    <x:row r="96">
      <x:c r="A96" s="1" t="str">
        <x:v>PL-20260531-Z4</x:v>
      </x:c>
      <x:c r="B96" s="1" t="str">
        <x:v>2026-05-31</x:v>
      </x:c>
      <x:c r="C96" s="1" t="str">
        <x:v>Z4</x:v>
      </x:c>
      <x:c r="D96" s="1" t="str">
        <x:v>Tela</x:v>
      </x:c>
      <x:c r="E96" s="1" t="str">
        <x:v>R002</x:v>
      </x:c>
      <x:c r="F96" s="1" t="str">
        <x:v>Ana López</x:v>
      </x:c>
      <x:c r="G96" s="1" t="str">
        <x:v>V002</x:v>
      </x:c>
      <x:c r="H96" s="1" t="n">
        <x:v>1</x:v>
      </x:c>
      <x:c r="I96" s="1" t="str">
        <x:v>RT-20260531-R002</x:v>
      </x:c>
      <x:c r="J96" s="1" t="n">
        <x:v>1</x:v>
      </x:c>
      <x:c r="K96" s="5" t="n">
        <x:f>SUM(Rutas_Base!T135,Rutas_Base!W135)</x:f>
        <x:v>204.6</x:v>
      </x:c>
      <x:c r="L96" s="5" t="n">
        <x:f>2*MAX(Parametros_Operacion!$B$9)</x:f>
        <x:v>204.6</x:v>
      </x:c>
      <x:c r="M96" s="5" t="n">
        <x:f>SUM(Rutas_Base!U135)</x:f>
        <x:v>5.86</x:v>
      </x:c>
      <x:c r="N96" s="5" t="n">
        <x:f>SUM(Rutas_Base!V135)</x:f>
        <x:v>5.86</x:v>
      </x:c>
      <x:c r="O96" s="5" t="n">
        <x:f>SUM(Rutas_Base!H135)</x:f>
        <x:v>210.46</x:v>
      </x:c>
      <x:c r="P96" s="5" t="n">
        <x:f>ROUND(L96+N96,2)</x:f>
        <x:v>210.46</x:v>
      </x:c>
      <x:c r="Q96" s="5" t="n">
        <x:f>ROUND(O96-P96,2)</x:f>
        <x:v>0</x:v>
      </x:c>
      <x:c r="R96" s="5" t="n">
        <x:f>SUM(Rutas_Base!L135)</x:f>
        <x:v>764.18</x:v>
      </x:c>
      <x:c r="S96" s="5" t="n">
        <x:f>ROUND(P96/Vehiculos!$E$3*Vehiculos!$F$3,2)</x:f>
        <x:v>764.18</x:v>
      </x:c>
      <x:c r="T96" s="5" t="n">
        <x:f>ROUND(R96-S96,2)</x:f>
        <x:v>0</x:v>
      </x:c>
      <x:c r="U96" s="5" t="n">
        <x:f>SUM(Rutas_Base!O135)</x:f>
        <x:v>271</x:v>
      </x:c>
      <x:c r="V96" s="5" t="n">
        <x:f>ROUND(P96/Vehiculos!$G$3*60+H96*8,0)</x:f>
        <x:v>271</x:v>
      </x:c>
      <x:c r="W96" s="5" t="n">
        <x:f>U96-V96</x:f>
        <x:v>0</x:v>
      </x:c>
      <x:c r="X96" s="1" t="n">
        <x:f>Vehiculos!$D$3</x:f>
        <x:v>12</x:v>
      </x:c>
      <x:c r="Y96" s="1" t="str">
        <x:f>IF(H96&lt;=X96,"Sí","No")</x:f>
        <x:v>Sí</x:v>
      </x:c>
      <x:c r="Z96" s="1" t="str">
        <x:f>IF(V96&lt;=Parametros_Operacion!$H$13,"Sí","No")</x:f>
        <x:v>Sí</x:v>
      </x:c>
      <x:c r="AA96" s="1" t="str">
        <x:f>IF(Q96&gt;0,"Ahorro por ruta compartida","Sin ahorro: recorrido equivalente")</x:f>
        <x:v>Sin ahorro: recorrido equivalente</x:v>
      </x:c>
    </x:row>
    <x:row r="97">
      <x:c r="A97" s="1" t="str">
        <x:v>PL-20260601-Z1</x:v>
      </x:c>
      <x:c r="B97" s="1" t="str">
        <x:v>2026-06-01</x:v>
      </x:c>
      <x:c r="C97" s="1" t="str">
        <x:v>Z1</x:v>
      </x:c>
      <x:c r="D97" s="1" t="str">
        <x:v>La Ceiba + Jutiapa</x:v>
      </x:c>
      <x:c r="E97" s="1" t="str">
        <x:v>R001</x:v>
      </x:c>
      <x:c r="F97" s="1" t="str">
        <x:v>Carlos Mejía</x:v>
      </x:c>
      <x:c r="G97" s="1" t="str">
        <x:v>V001</x:v>
      </x:c>
      <x:c r="H97" s="1" t="n">
        <x:v>3</x:v>
      </x:c>
      <x:c r="I97" s="1" t="str">
        <x:v>RT-20260601-R001 + RT-20260601-R003</x:v>
      </x:c>
      <x:c r="J97" s="1" t="n">
        <x:v>2</x:v>
      </x:c>
      <x:c r="K97" s="5" t="n">
        <x:f>SUM(Rutas_Base!T137,Rutas_Base!W137,Rutas_Base!T138,Rutas_Base!W138)</x:f>
        <x:v>62.8</x:v>
      </x:c>
      <x:c r="L97" s="5" t="n">
        <x:f>2*MAX(Parametros_Operacion!$B$6,Parametros_Operacion!$B$5)</x:f>
        <x:v>62.8</x:v>
      </x:c>
      <x:c r="M97" s="5" t="n">
        <x:f>SUM(Rutas_Base!U137,Rutas_Base!U138)</x:f>
        <x:v>25.65</x:v>
      </x:c>
      <x:c r="N97" s="5" t="n">
        <x:f>SUM(Rutas_Base!V137,Rutas_Base!V138)</x:f>
        <x:v>25.65</x:v>
      </x:c>
      <x:c r="O97" s="5" t="n">
        <x:f>SUM(Rutas_Base!H137,Rutas_Base!H138)</x:f>
        <x:v>88.45</x:v>
      </x:c>
      <x:c r="P97" s="5" t="n">
        <x:f>ROUND(L97+N97,2)</x:f>
        <x:v>88.45</x:v>
      </x:c>
      <x:c r="Q97" s="5" t="n">
        <x:f>ROUND(O97-P97,2)</x:f>
        <x:v>0</x:v>
      </x:c>
      <x:c r="R97" s="5" t="n">
        <x:f>SUM(Rutas_Base!L137,Rutas_Base!L138)</x:f>
        <x:v>332.4</x:v>
      </x:c>
      <x:c r="S97" s="5" t="n">
        <x:f>ROUND(P97/Vehiculos!$E$2*Vehiculos!$F$2,2)</x:f>
        <x:v>306.56</x:v>
      </x:c>
      <x:c r="T97" s="5" t="n">
        <x:f>ROUND(R97-S97,2)</x:f>
        <x:v>25.84</x:v>
      </x:c>
      <x:c r="U97" s="5" t="n">
        <x:f>SUM(Rutas_Base!O137,Rutas_Base!O138)</x:f>
        <x:v>136</x:v>
      </x:c>
      <x:c r="V97" s="5" t="n">
        <x:f>ROUND(P97/Vehiculos!$G$2*60+H97*8,0)</x:f>
        <x:v>130</x:v>
      </x:c>
      <x:c r="W97" s="5" t="n">
        <x:f>U97-V97</x:f>
        <x:v>6</x:v>
      </x:c>
      <x:c r="X97" s="1" t="n">
        <x:f>Vehiculos!$D$2</x:f>
        <x:v>12</x:v>
      </x:c>
      <x:c r="Y97" s="1" t="str">
        <x:f>IF(H97&lt;=X97,"Sí","No")</x:f>
        <x:v>Sí</x:v>
      </x:c>
      <x:c r="Z97" s="1" t="str">
        <x:f>IF(V97&lt;=Parametros_Operacion!$H$13,"Sí","No")</x:f>
        <x:v>Sí</x:v>
      </x:c>
      <x:c r="AA97" s="1" t="str">
        <x:f>IF(Q97&gt;0,"Ahorro por ruta compartida","Sin ahorro: recorrido equivalente")</x:f>
        <x:v>Sin ahorro: recorrido equivalente</x:v>
      </x:c>
    </x:row>
    <x:row r="98">
      <x:c r="A98" s="1" t="str">
        <x:v>PL-20260601-Z3</x:v>
      </x:c>
      <x:c r="B98" s="1" t="str">
        <x:v>2026-06-01</x:v>
      </x:c>
      <x:c r="C98" s="1" t="str">
        <x:v>Z3</x:v>
      </x:c>
      <x:c r="D98" s="1" t="str">
        <x:v>La Masica + Esparta</x:v>
      </x:c>
      <x:c r="E98" s="1" t="str">
        <x:v>R007</x:v>
      </x:c>
      <x:c r="F98" s="1" t="str">
        <x:v>María Hernández</x:v>
      </x:c>
      <x:c r="G98" s="1" t="str">
        <x:v>V007</x:v>
      </x:c>
      <x:c r="H98" s="1" t="n">
        <x:v>2</x:v>
      </x:c>
      <x:c r="I98" s="1" t="str">
        <x:v>RT-20260601-R004 + RT-20260601-R007</x:v>
      </x:c>
      <x:c r="J98" s="1" t="n">
        <x:v>2</x:v>
      </x:c>
      <x:c r="K98" s="5" t="n">
        <x:f>SUM(Rutas_Base!T139,Rutas_Base!W139,Rutas_Base!T141,Rutas_Base!W141)</x:f>
        <x:v>233.4</x:v>
      </x:c>
      <x:c r="L98" s="5" t="n">
        <x:f>2*MAX(Parametros_Operacion!$B$7,Parametros_Operacion!$B$4)</x:f>
        <x:v>151</x:v>
      </x:c>
      <x:c r="M98" s="5" t="n">
        <x:f>SUM(Rutas_Base!U139,Rutas_Base!U141)</x:f>
        <x:v>5.74</x:v>
      </x:c>
      <x:c r="N98" s="5" t="n">
        <x:f>SUM(Rutas_Base!V139,Rutas_Base!V141)</x:f>
        <x:v>5.74</x:v>
      </x:c>
      <x:c r="O98" s="5" t="n">
        <x:f>SUM(Rutas_Base!H139,Rutas_Base!H141)</x:f>
        <x:v>239.14000000000001</x:v>
      </x:c>
      <x:c r="P98" s="5" t="n">
        <x:f>ROUND(L98+N98,2)</x:f>
        <x:v>156.74</x:v>
      </x:c>
      <x:c r="Q98" s="5" t="n">
        <x:f>ROUND(O98-P98,2)</x:f>
        <x:v>82.4</x:v>
      </x:c>
      <x:c r="R98" s="5" t="n">
        <x:f>SUM(Rutas_Base!L139,Rutas_Base!L141)</x:f>
        <x:v>896.1400000000001</x:v>
      </x:c>
      <x:c r="S98" s="5" t="n">
        <x:f>ROUND(P98/Vehiculos!$E$8*Vehiculos!$F$8,2)</x:f>
        <x:v>597.58</x:v>
      </x:c>
      <x:c r="T98" s="5" t="n">
        <x:f>ROUND(R98-S98,2)</x:f>
        <x:v>298.56</x:v>
      </x:c>
      <x:c r="U98" s="5" t="n">
        <x:f>SUM(Rutas_Base!O139,Rutas_Base!O141)</x:f>
        <x:v>321</x:v>
      </x:c>
      <x:c r="V98" s="5" t="n">
        <x:f>ROUND(P98/Vehiculos!$G$8*60+H98*8,0)</x:f>
        <x:v>220</x:v>
      </x:c>
      <x:c r="W98" s="5" t="n">
        <x:f>U98-V98</x:f>
        <x:v>101</x:v>
      </x:c>
      <x:c r="X98" s="1" t="n">
        <x:f>Vehiculos!$D$8</x:f>
        <x:v>12</x:v>
      </x:c>
      <x:c r="Y98" s="1" t="str">
        <x:f>IF(H98&lt;=X98,"Sí","No")</x:f>
        <x:v>Sí</x:v>
      </x:c>
      <x:c r="Z98" s="1" t="str">
        <x:f>IF(V98&lt;=Parametros_Operacion!$H$13,"Sí","No")</x:f>
        <x:v>Sí</x:v>
      </x:c>
      <x:c r="AA98" s="1" t="str">
        <x:f>IF(Q98&gt;0,"Ahorro por ruta compartida","Sin ahorro: recorrido equivalente")</x:f>
        <x:v>Ahorro por ruta compartida</x:v>
      </x:c>
    </x:row>
    <x:row r="99">
      <x:c r="A99" s="1" t="str">
        <x:v>PL-20260601-Z4</x:v>
      </x:c>
      <x:c r="B99" s="1" t="str">
        <x:v>2026-06-01</x:v>
      </x:c>
      <x:c r="C99" s="1" t="str">
        <x:v>Z4</x:v>
      </x:c>
      <x:c r="D99" s="1" t="str">
        <x:v>Arizona</x:v>
      </x:c>
      <x:c r="E99" s="1" t="str">
        <x:v>R002</x:v>
      </x:c>
      <x:c r="F99" s="1" t="str">
        <x:v>Ana López</x:v>
      </x:c>
      <x:c r="G99" s="1" t="str">
        <x:v>V002</x:v>
      </x:c>
      <x:c r="H99" s="1" t="n">
        <x:v>1</x:v>
      </x:c>
      <x:c r="I99" s="1" t="str">
        <x:v>RT-20260601-R006</x:v>
      </x:c>
      <x:c r="J99" s="1" t="n">
        <x:v>1</x:v>
      </x:c>
      <x:c r="K99" s="5" t="n">
        <x:f>SUM(Rutas_Base!T140,Rutas_Base!W140)</x:f>
        <x:v>145</x:v>
      </x:c>
      <x:c r="L99" s="5" t="n">
        <x:f>2*MAX(Parametros_Operacion!$B$2)</x:f>
        <x:v>145</x:v>
      </x:c>
      <x:c r="M99" s="5" t="n">
        <x:f>SUM(Rutas_Base!U140)</x:f>
        <x:v>4.62</x:v>
      </x:c>
      <x:c r="N99" s="5" t="n">
        <x:f>SUM(Rutas_Base!V140)</x:f>
        <x:v>4.62</x:v>
      </x:c>
      <x:c r="O99" s="5" t="n">
        <x:f>SUM(Rutas_Base!H140)</x:f>
        <x:v>149.62</x:v>
      </x:c>
      <x:c r="P99" s="5" t="n">
        <x:f>ROUND(L99+N99,2)</x:f>
        <x:v>149.62</x:v>
      </x:c>
      <x:c r="Q99" s="5" t="n">
        <x:f>ROUND(O99-P99,2)</x:f>
        <x:v>0</x:v>
      </x:c>
      <x:c r="R99" s="5" t="n">
        <x:f>SUM(Rutas_Base!L140)</x:f>
        <x:v>570.43</x:v>
      </x:c>
      <x:c r="S99" s="5" t="n">
        <x:f>ROUND(P99/Vehiculos!$E$3*Vehiculos!$F$3,2)</x:f>
        <x:v>543.27</x:v>
      </x:c>
      <x:c r="T99" s="5" t="n">
        <x:f>ROUND(R99-S99,2)</x:f>
        <x:v>27.16</x:v>
      </x:c>
      <x:c r="U99" s="5" t="n">
        <x:f>SUM(Rutas_Base!O140)</x:f>
        <x:v>199</x:v>
      </x:c>
      <x:c r="V99" s="5" t="n">
        <x:f>ROUND(P99/Vehiculos!$G$3*60+H99*8,0)</x:f>
        <x:v>195</x:v>
      </x:c>
      <x:c r="W99" s="5" t="n">
        <x:f>U99-V99</x:f>
        <x:v>4</x:v>
      </x:c>
      <x:c r="X99" s="1" t="n">
        <x:f>Vehiculos!$D$3</x:f>
        <x:v>12</x:v>
      </x:c>
      <x:c r="Y99" s="1" t="str">
        <x:f>IF(H99&lt;=X99,"Sí","No")</x:f>
        <x:v>Sí</x:v>
      </x:c>
      <x:c r="Z99" s="1" t="str">
        <x:f>IF(V99&lt;=Parametros_Operacion!$H$13,"Sí","No")</x:f>
        <x:v>Sí</x:v>
      </x:c>
      <x:c r="AA99" s="1" t="str">
        <x:f>IF(Q99&gt;0,"Ahorro por ruta compartida","Sin ahorro: recorrido equivalente")</x:f>
        <x:v>Sin ahorro: recorrido equivalente</x:v>
      </x:c>
    </x:row>
    <x:row r="100">
      <x:c r="A100" s="1" t="str">
        <x:v>PL-20260602-Z1</x:v>
      </x:c>
      <x:c r="B100" s="1" t="str">
        <x:v>2026-06-02</x:v>
      </x:c>
      <x:c r="C100" s="1" t="str">
        <x:v>Z1</x:v>
      </x:c>
      <x:c r="D100" s="1" t="str">
        <x:v>La Ceiba</x:v>
      </x:c>
      <x:c r="E100" s="1" t="str">
        <x:v>R001</x:v>
      </x:c>
      <x:c r="F100" s="1" t="str">
        <x:v>Carlos Mejía</x:v>
      </x:c>
      <x:c r="G100" s="1" t="str">
        <x:v>V001</x:v>
      </x:c>
      <x:c r="H100" s="1" t="n">
        <x:v>1</x:v>
      </x:c>
      <x:c r="I100" s="1" t="str">
        <x:v>RT-20260602-R001</x:v>
      </x:c>
      <x:c r="J100" s="1" t="n">
        <x:v>1</x:v>
      </x:c>
      <x:c r="K100" s="5" t="n">
        <x:f>SUM(Rutas_Base!T142,Rutas_Base!W142)</x:f>
        <x:v>0</x:v>
      </x:c>
      <x:c r="L100" s="5" t="n">
        <x:f>2*MAX(Parametros_Operacion!$B$6)</x:f>
        <x:v>0</x:v>
      </x:c>
      <x:c r="M100" s="5" t="n">
        <x:f>SUM(Rutas_Base!U142)</x:f>
        <x:v>9.32</x:v>
      </x:c>
      <x:c r="N100" s="5" t="n">
        <x:f>SUM(Rutas_Base!V142)</x:f>
        <x:v>9.32</x:v>
      </x:c>
      <x:c r="O100" s="5" t="n">
        <x:f>SUM(Rutas_Base!H142)</x:f>
        <x:v>9.32</x:v>
      </x:c>
      <x:c r="P100" s="5" t="n">
        <x:f>ROUND(L100+N100,2)</x:f>
        <x:v>9.32</x:v>
      </x:c>
      <x:c r="Q100" s="5" t="n">
        <x:f>ROUND(O100-P100,2)</x:f>
        <x:v>0</x:v>
      </x:c>
      <x:c r="R100" s="5" t="n">
        <x:f>SUM(Rutas_Base!L142)</x:f>
        <x:v>32.3</x:v>
      </x:c>
      <x:c r="S100" s="5" t="n">
        <x:f>ROUND(P100/Vehiculos!$E$2*Vehiculos!$F$2,2)</x:f>
        <x:v>32.3</x:v>
      </x:c>
      <x:c r="T100" s="5" t="n">
        <x:f>ROUND(R100-S100,2)</x:f>
        <x:v>0</x:v>
      </x:c>
      <x:c r="U100" s="5" t="n">
        <x:f>SUM(Rutas_Base!O142)</x:f>
        <x:v>19</x:v>
      </x:c>
      <x:c r="V100" s="5" t="n">
        <x:f>ROUND(P100/Vehiculos!$G$2*60+H100*8,0)</x:f>
        <x:v>19</x:v>
      </x:c>
      <x:c r="W100" s="5" t="n">
        <x:f>U100-V100</x:f>
        <x:v>0</x:v>
      </x:c>
      <x:c r="X100" s="1" t="n">
        <x:f>Vehiculos!$D$2</x:f>
        <x:v>12</x:v>
      </x:c>
      <x:c r="Y100" s="1" t="str">
        <x:f>IF(H100&lt;=X100,"Sí","No")</x:f>
        <x:v>Sí</x:v>
      </x:c>
      <x:c r="Z100" s="1" t="str">
        <x:f>IF(V100&lt;=Parametros_Operacion!$H$13,"Sí","No")</x:f>
        <x:v>Sí</x:v>
      </x:c>
      <x:c r="AA100" s="1" t="str">
        <x:f>IF(Q100&gt;0,"Ahorro por ruta compartida","Sin ahorro: recorrido equivalente")</x:f>
        <x:v>Sin ahorro: recorrido equivalente</x:v>
      </x:c>
    </x:row>
    <x:row r="101">
      <x:c r="A101" s="1" t="str">
        <x:v>PL-20260602-Z2</x:v>
      </x:c>
      <x:c r="B101" s="1" t="str">
        <x:v>2026-06-02</x:v>
      </x:c>
      <x:c r="C101" s="1" t="str">
        <x:v>Z2</x:v>
      </x:c>
      <x:c r="D101" s="1" t="str">
        <x:v>San Francisco</x:v>
      </x:c>
      <x:c r="E101" s="1" t="str">
        <x:v>R004</x:v>
      </x:c>
      <x:c r="F101" s="1" t="str">
        <x:v>Daniela Cruz</x:v>
      </x:c>
      <x:c r="G101" s="1" t="str">
        <x:v>V004</x:v>
      </x:c>
      <x:c r="H101" s="1" t="n">
        <x:v>1</x:v>
      </x:c>
      <x:c r="I101" s="1" t="str">
        <x:v>RT-20260602-R005</x:v>
      </x:c>
      <x:c r="J101" s="1" t="n">
        <x:v>1</x:v>
      </x:c>
      <x:c r="K101" s="5" t="n">
        <x:f>SUM(Rutas_Base!T144,Rutas_Base!W144)</x:f>
        <x:v>70</x:v>
      </x:c>
      <x:c r="L101" s="5" t="n">
        <x:f>2*MAX(Parametros_Operacion!$B$8)</x:f>
        <x:v>70</x:v>
      </x:c>
      <x:c r="M101" s="5" t="n">
        <x:f>SUM(Rutas_Base!U144)</x:f>
        <x:v>5.5</x:v>
      </x:c>
      <x:c r="N101" s="5" t="n">
        <x:f>SUM(Rutas_Base!V144)</x:f>
        <x:v>5.5</x:v>
      </x:c>
      <x:c r="O101" s="5" t="n">
        <x:f>SUM(Rutas_Base!H144)</x:f>
        <x:v>75.5</x:v>
      </x:c>
      <x:c r="P101" s="5" t="n">
        <x:f>ROUND(L101+N101,2)</x:f>
        <x:v>75.5</x:v>
      </x:c>
      <x:c r="Q101" s="5" t="n">
        <x:f>ROUND(O101-P101,2)</x:f>
        <x:v>0</x:v>
      </x:c>
      <x:c r="R101" s="5" t="n">
        <x:f>SUM(Rutas_Base!L144)</x:f>
        <x:v>359.81</x:v>
      </x:c>
      <x:c r="S101" s="5" t="n">
        <x:f>ROUND(P101/Vehiculos!$E$5*Vehiculos!$F$5,2)</x:f>
        <x:v>274.14</x:v>
      </x:c>
      <x:c r="T101" s="5" t="n">
        <x:f>ROUND(R101-S101,2)</x:f>
        <x:v>85.67</x:v>
      </x:c>
      <x:c r="U101" s="5" t="n">
        <x:f>SUM(Rutas_Base!O144)</x:f>
        <x:v>113</x:v>
      </x:c>
      <x:c r="V101" s="5" t="n">
        <x:f>ROUND(P101/Vehiculos!$G$5*60+H101*8,0)</x:f>
        <x:v>100</x:v>
      </x:c>
      <x:c r="W101" s="5" t="n">
        <x:f>U101-V101</x:f>
        <x:v>13</x:v>
      </x:c>
      <x:c r="X101" s="1" t="n">
        <x:f>Vehiculos!$D$5</x:f>
        <x:v>12</x:v>
      </x:c>
      <x:c r="Y101" s="1" t="str">
        <x:f>IF(H101&lt;=X101,"Sí","No")</x:f>
        <x:v>Sí</x:v>
      </x:c>
      <x:c r="Z101" s="1" t="str">
        <x:f>IF(V101&lt;=Parametros_Operacion!$H$13,"Sí","No")</x:f>
        <x:v>Sí</x:v>
      </x:c>
      <x:c r="AA101" s="1" t="str">
        <x:f>IF(Q101&gt;0,"Ahorro por ruta compartida","Sin ahorro: recorrido equivalente")</x:f>
        <x:v>Sin ahorro: recorrido equivalente</x:v>
      </x:c>
    </x:row>
    <x:row r="102">
      <x:c r="A102" s="1" t="str">
        <x:v>PL-20260602-Z3</x:v>
      </x:c>
      <x:c r="B102" s="1" t="str">
        <x:v>2026-06-02</x:v>
      </x:c>
      <x:c r="C102" s="1" t="str">
        <x:v>Z3</x:v>
      </x:c>
      <x:c r="D102" s="1" t="str">
        <x:v>La Masica</x:v>
      </x:c>
      <x:c r="E102" s="1" t="str">
        <x:v>R007</x:v>
      </x:c>
      <x:c r="F102" s="1" t="str">
        <x:v>María Hernández</x:v>
      </x:c>
      <x:c r="G102" s="1" t="str">
        <x:v>V007</x:v>
      </x:c>
      <x:c r="H102" s="1" t="n">
        <x:v>1</x:v>
      </x:c>
      <x:c r="I102" s="1" t="str">
        <x:v>RT-20260602-R004</x:v>
      </x:c>
      <x:c r="J102" s="1" t="n">
        <x:v>1</x:v>
      </x:c>
      <x:c r="K102" s="5" t="n">
        <x:f>SUM(Rutas_Base!T143,Rutas_Base!W143)</x:f>
        <x:v>82.4</x:v>
      </x:c>
      <x:c r="L102" s="5" t="n">
        <x:f>2*MAX(Parametros_Operacion!$B$7)</x:f>
        <x:v>82.4</x:v>
      </x:c>
      <x:c r="M102" s="5" t="n">
        <x:f>SUM(Rutas_Base!U143)</x:f>
        <x:v>3.8</x:v>
      </x:c>
      <x:c r="N102" s="5" t="n">
        <x:f>SUM(Rutas_Base!V143)</x:f>
        <x:v>3.8</x:v>
      </x:c>
      <x:c r="O102" s="5" t="n">
        <x:f>SUM(Rutas_Base!H143)</x:f>
        <x:v>86.2</x:v>
      </x:c>
      <x:c r="P102" s="5" t="n">
        <x:f>ROUND(L102+N102,2)</x:f>
        <x:v>86.2</x:v>
      </x:c>
      <x:c r="Q102" s="5" t="n">
        <x:f>ROUND(O102-P102,2)</x:f>
        <x:v>0</x:v>
      </x:c>
      <x:c r="R102" s="5" t="n">
        <x:f>SUM(Rutas_Base!L143)</x:f>
        <x:v>312.99</x:v>
      </x:c>
      <x:c r="S102" s="5" t="n">
        <x:f>ROUND(P102/Vehiculos!$E$8*Vehiculos!$F$8,2)</x:f>
        <x:v>328.64</x:v>
      </x:c>
      <x:c r="T102" s="5" t="n">
        <x:f>ROUND(R102-S102,2)</x:f>
        <x:v>-15.65</x:v>
      </x:c>
      <x:c r="U102" s="5" t="n">
        <x:f>SUM(Rutas_Base!O143)</x:f>
        <x:v>114</x:v>
      </x:c>
      <x:c r="V102" s="5" t="n">
        <x:f>ROUND(P102/Vehiculos!$G$8*60+H102*8,0)</x:f>
        <x:v>120</x:v>
      </x:c>
      <x:c r="W102" s="5" t="n">
        <x:f>U102-V102</x:f>
        <x:v>-6</x:v>
      </x:c>
      <x:c r="X102" s="1" t="n">
        <x:f>Vehiculos!$D$8</x:f>
        <x:v>12</x:v>
      </x:c>
      <x:c r="Y102" s="1" t="str">
        <x:f>IF(H102&lt;=X102,"Sí","No")</x:f>
        <x:v>Sí</x:v>
      </x:c>
      <x:c r="Z102" s="1" t="str">
        <x:f>IF(V102&lt;=Parametros_Operacion!$H$13,"Sí","No")</x:f>
        <x:v>Sí</x:v>
      </x:c>
      <x:c r="AA102" s="1" t="str">
        <x:f>IF(Q102&gt;0,"Ahorro por ruta compartida","Sin ahorro: recorrido equivalente")</x:f>
        <x:v>Sin ahorro: recorrido equivalente</x:v>
      </x:c>
    </x:row>
    <x:row r="103">
      <x:c r="A103" s="1" t="str">
        <x:v>PL-20260602-Z4</x:v>
      </x:c>
      <x:c r="B103" s="1" t="str">
        <x:v>2026-06-02</x:v>
      </x:c>
      <x:c r="C103" s="1" t="str">
        <x:v>Z4</x:v>
      </x:c>
      <x:c r="D103" s="1" t="str">
        <x:v>Arizona</x:v>
      </x:c>
      <x:c r="E103" s="1" t="str">
        <x:v>R002</x:v>
      </x:c>
      <x:c r="F103" s="1" t="str">
        <x:v>Ana López</x:v>
      </x:c>
      <x:c r="G103" s="1" t="str">
        <x:v>V002</x:v>
      </x:c>
      <x:c r="H103" s="1" t="n">
        <x:v>1</x:v>
      </x:c>
      <x:c r="I103" s="1" t="str">
        <x:v>RT-20260602-R006</x:v>
      </x:c>
      <x:c r="J103" s="1" t="n">
        <x:v>1</x:v>
      </x:c>
      <x:c r="K103" s="5" t="n">
        <x:f>SUM(Rutas_Base!T145,Rutas_Base!W145)</x:f>
        <x:v>145</x:v>
      </x:c>
      <x:c r="L103" s="5" t="n">
        <x:f>2*MAX(Parametros_Operacion!$B$2)</x:f>
        <x:v>145</x:v>
      </x:c>
      <x:c r="M103" s="5" t="n">
        <x:f>SUM(Rutas_Base!U145)</x:f>
        <x:v>2.8</x:v>
      </x:c>
      <x:c r="N103" s="5" t="n">
        <x:f>SUM(Rutas_Base!V145)</x:f>
        <x:v>2.8</x:v>
      </x:c>
      <x:c r="O103" s="5" t="n">
        <x:f>SUM(Rutas_Base!H145)</x:f>
        <x:v>147.8</x:v>
      </x:c>
      <x:c r="P103" s="5" t="n">
        <x:f>ROUND(L103+N103,2)</x:f>
        <x:v>147.8</x:v>
      </x:c>
      <x:c r="Q103" s="5" t="n">
        <x:f>ROUND(O103-P103,2)</x:f>
        <x:v>0</x:v>
      </x:c>
      <x:c r="R103" s="5" t="n">
        <x:f>SUM(Rutas_Base!L145)</x:f>
        <x:v>563.49</x:v>
      </x:c>
      <x:c r="S103" s="5" t="n">
        <x:f>ROUND(P103/Vehiculos!$E$3*Vehiculos!$F$3,2)</x:f>
        <x:v>536.66</x:v>
      </x:c>
      <x:c r="T103" s="5" t="n">
        <x:f>ROUND(R103-S103,2)</x:f>
        <x:v>26.83</x:v>
      </x:c>
      <x:c r="U103" s="5" t="n">
        <x:f>SUM(Rutas_Base!O145)</x:f>
        <x:v>197</x:v>
      </x:c>
      <x:c r="V103" s="5" t="n">
        <x:f>ROUND(P103/Vehiculos!$G$3*60+H103*8,0)</x:f>
        <x:v>193</x:v>
      </x:c>
      <x:c r="W103" s="5" t="n">
        <x:f>U103-V103</x:f>
        <x:v>4</x:v>
      </x:c>
      <x:c r="X103" s="1" t="n">
        <x:f>Vehiculos!$D$3</x:f>
        <x:v>12</x:v>
      </x:c>
      <x:c r="Y103" s="1" t="str">
        <x:f>IF(H103&lt;=X103,"Sí","No")</x:f>
        <x:v>Sí</x:v>
      </x:c>
      <x:c r="Z103" s="1" t="str">
        <x:f>IF(V103&lt;=Parametros_Operacion!$H$13,"Sí","No")</x:f>
        <x:v>Sí</x:v>
      </x:c>
      <x:c r="AA103" s="1" t="str">
        <x:f>IF(Q103&gt;0,"Ahorro por ruta compartida","Sin ahorro: recorrido equivalente")</x:f>
        <x:v>Sin ahorro: recorrido equivalente</x:v>
      </x:c>
    </x:row>
    <x:row r="104">
      <x:c r="A104" s="1" t="str">
        <x:v>PL-20260603-Z3</x:v>
      </x:c>
      <x:c r="B104" s="1" t="str">
        <x:v>2026-06-03</x:v>
      </x:c>
      <x:c r="C104" s="1" t="str">
        <x:v>Z3</x:v>
      </x:c>
      <x:c r="D104" s="1" t="str">
        <x:v>Esparta</x:v>
      </x:c>
      <x:c r="E104" s="1" t="str">
        <x:v>R007</x:v>
      </x:c>
      <x:c r="F104" s="1" t="str">
        <x:v>María Hernández</x:v>
      </x:c>
      <x:c r="G104" s="1" t="str">
        <x:v>V007</x:v>
      </x:c>
      <x:c r="H104" s="1" t="n">
        <x:v>1</x:v>
      </x:c>
      <x:c r="I104" s="1" t="str">
        <x:v>RT-20260603-R007</x:v>
      </x:c>
      <x:c r="J104" s="1" t="n">
        <x:v>1</x:v>
      </x:c>
      <x:c r="K104" s="5" t="n">
        <x:f>SUM(Rutas_Base!T146,Rutas_Base!W146)</x:f>
        <x:v>151</x:v>
      </x:c>
      <x:c r="L104" s="5" t="n">
        <x:f>2*MAX(Parametros_Operacion!$B$4)</x:f>
        <x:v>151</x:v>
      </x:c>
      <x:c r="M104" s="5" t="n">
        <x:f>SUM(Rutas_Base!U146)</x:f>
        <x:v>6.96</x:v>
      </x:c>
      <x:c r="N104" s="5" t="n">
        <x:f>SUM(Rutas_Base!V146)</x:f>
        <x:v>6.96</x:v>
      </x:c>
      <x:c r="O104" s="5" t="n">
        <x:f>SUM(Rutas_Base!H146)</x:f>
        <x:v>157.96</x:v>
      </x:c>
      <x:c r="P104" s="5" t="n">
        <x:f>ROUND(L104+N104,2)</x:f>
        <x:v>157.96</x:v>
      </x:c>
      <x:c r="Q104" s="5" t="n">
        <x:f>ROUND(O104-P104,2)</x:f>
        <x:v>0</x:v>
      </x:c>
      <x:c r="R104" s="5" t="n">
        <x:f>SUM(Rutas_Base!L146)</x:f>
        <x:v>602.23</x:v>
      </x:c>
      <x:c r="S104" s="5" t="n">
        <x:f>ROUND(P104/Vehiculos!$E$8*Vehiculos!$F$8,2)</x:f>
        <x:v>602.23</x:v>
      </x:c>
      <x:c r="T104" s="5" t="n">
        <x:f>ROUND(R104-S104,2)</x:f>
        <x:v>0</x:v>
      </x:c>
      <x:c r="U104" s="5" t="n">
        <x:f>SUM(Rutas_Base!O146)</x:f>
        <x:v>214</x:v>
      </x:c>
      <x:c r="V104" s="5" t="n">
        <x:f>ROUND(P104/Vehiculos!$G$8*60+H104*8,0)</x:f>
        <x:v>214</x:v>
      </x:c>
      <x:c r="W104" s="5" t="n">
        <x:f>U104-V104</x:f>
        <x:v>0</x:v>
      </x:c>
      <x:c r="X104" s="1" t="n">
        <x:f>Vehiculos!$D$8</x:f>
        <x:v>12</x:v>
      </x:c>
      <x:c r="Y104" s="1" t="str">
        <x:f>IF(H104&lt;=X104,"Sí","No")</x:f>
        <x:v>Sí</x:v>
      </x:c>
      <x:c r="Z104" s="1" t="str">
        <x:f>IF(V104&lt;=Parametros_Operacion!$H$13,"Sí","No")</x:f>
        <x:v>Sí</x:v>
      </x:c>
      <x:c r="AA104" s="1" t="str">
        <x:f>IF(Q104&gt;0,"Ahorro por ruta compartida","Sin ahorro: recorrido equivalente")</x:f>
        <x:v>Sin ahorro: recorrido equivalente</x:v>
      </x:c>
    </x:row>
    <x:row r="105">
      <x:c r="A105" s="1" t="str">
        <x:v>PL-20260604-Z2</x:v>
      </x:c>
      <x:c r="B105" s="1" t="str">
        <x:v>2026-06-04</x:v>
      </x:c>
      <x:c r="C105" s="1" t="str">
        <x:v>Z2</x:v>
      </x:c>
      <x:c r="D105" s="1" t="str">
        <x:v>San Francisco</x:v>
      </x:c>
      <x:c r="E105" s="1" t="str">
        <x:v>R004</x:v>
      </x:c>
      <x:c r="F105" s="1" t="str">
        <x:v>Daniela Cruz</x:v>
      </x:c>
      <x:c r="G105" s="1" t="str">
        <x:v>V004</x:v>
      </x:c>
      <x:c r="H105" s="1" t="n">
        <x:v>1</x:v>
      </x:c>
      <x:c r="I105" s="1" t="str">
        <x:v>RT-20260604-R005</x:v>
      </x:c>
      <x:c r="J105" s="1" t="n">
        <x:v>1</x:v>
      </x:c>
      <x:c r="K105" s="5" t="n">
        <x:f>SUM(Rutas_Base!T147,Rutas_Base!W147)</x:f>
        <x:v>70</x:v>
      </x:c>
      <x:c r="L105" s="5" t="n">
        <x:f>2*MAX(Parametros_Operacion!$B$8)</x:f>
        <x:v>70</x:v>
      </x:c>
      <x:c r="M105" s="5" t="n">
        <x:f>SUM(Rutas_Base!U147)</x:f>
        <x:v>3.78</x:v>
      </x:c>
      <x:c r="N105" s="5" t="n">
        <x:f>SUM(Rutas_Base!V147)</x:f>
        <x:v>3.78</x:v>
      </x:c>
      <x:c r="O105" s="5" t="n">
        <x:f>SUM(Rutas_Base!H147)</x:f>
        <x:v>73.78</x:v>
      </x:c>
      <x:c r="P105" s="5" t="n">
        <x:f>ROUND(L105+N105,2)</x:f>
        <x:v>73.78</x:v>
      </x:c>
      <x:c r="Q105" s="5" t="n">
        <x:f>ROUND(O105-P105,2)</x:f>
        <x:v>0</x:v>
      </x:c>
      <x:c r="R105" s="5" t="n">
        <x:f>SUM(Rutas_Base!L147)</x:f>
        <x:v>351.61</x:v>
      </x:c>
      <x:c r="S105" s="5" t="n">
        <x:f>ROUND(P105/Vehiculos!$E$5*Vehiculos!$F$5,2)</x:f>
        <x:v>267.89</x:v>
      </x:c>
      <x:c r="T105" s="5" t="n">
        <x:f>ROUND(R105-S105,2)</x:f>
        <x:v>83.72</x:v>
      </x:c>
      <x:c r="U105" s="5" t="n">
        <x:f>SUM(Rutas_Base!O147)</x:f>
        <x:v>111</x:v>
      </x:c>
      <x:c r="V105" s="5" t="n">
        <x:f>ROUND(P105/Vehiculos!$G$5*60+H105*8,0)</x:f>
        <x:v>98</x:v>
      </x:c>
      <x:c r="W105" s="5" t="n">
        <x:f>U105-V105</x:f>
        <x:v>13</x:v>
      </x:c>
      <x:c r="X105" s="1" t="n">
        <x:f>Vehiculos!$D$5</x:f>
        <x:v>12</x:v>
      </x:c>
      <x:c r="Y105" s="1" t="str">
        <x:f>IF(H105&lt;=X105,"Sí","No")</x:f>
        <x:v>Sí</x:v>
      </x:c>
      <x:c r="Z105" s="1" t="str">
        <x:f>IF(V105&lt;=Parametros_Operacion!$H$13,"Sí","No")</x:f>
        <x:v>Sí</x:v>
      </x:c>
      <x:c r="AA105" s="1" t="str">
        <x:f>IF(Q105&gt;0,"Ahorro por ruta compartida","Sin ahorro: recorrido equivalente")</x:f>
        <x:v>Sin ahorro: recorrido equivalente</x:v>
      </x:c>
    </x:row>
    <x:row r="106">
      <x:c r="A106" s="1" t="str">
        <x:v>PL-20260605-Z4</x:v>
      </x:c>
      <x:c r="B106" s="1" t="str">
        <x:v>2026-06-05</x:v>
      </x:c>
      <x:c r="C106" s="1" t="str">
        <x:v>Z4</x:v>
      </x:c>
      <x:c r="D106" s="1" t="str">
        <x:v>Arizona</x:v>
      </x:c>
      <x:c r="E106" s="1" t="str">
        <x:v>R002</x:v>
      </x:c>
      <x:c r="F106" s="1" t="str">
        <x:v>Ana López</x:v>
      </x:c>
      <x:c r="G106" s="1" t="str">
        <x:v>V002</x:v>
      </x:c>
      <x:c r="H106" s="1" t="n">
        <x:v>1</x:v>
      </x:c>
      <x:c r="I106" s="1" t="str">
        <x:v>RT-20260605-R006</x:v>
      </x:c>
      <x:c r="J106" s="1" t="n">
        <x:v>1</x:v>
      </x:c>
      <x:c r="K106" s="5" t="n">
        <x:f>SUM(Rutas_Base!T148,Rutas_Base!W148)</x:f>
        <x:v>145</x:v>
      </x:c>
      <x:c r="L106" s="5" t="n">
        <x:f>2*MAX(Parametros_Operacion!$B$2)</x:f>
        <x:v>145</x:v>
      </x:c>
      <x:c r="M106" s="5" t="n">
        <x:f>SUM(Rutas_Base!U148)</x:f>
        <x:v>12.48</x:v>
      </x:c>
      <x:c r="N106" s="5" t="n">
        <x:f>SUM(Rutas_Base!V148)</x:f>
        <x:v>12.48</x:v>
      </x:c>
      <x:c r="O106" s="5" t="n">
        <x:f>SUM(Rutas_Base!H148)</x:f>
        <x:v>157.48</x:v>
      </x:c>
      <x:c r="P106" s="5" t="n">
        <x:f>ROUND(L106+N106,2)</x:f>
        <x:v>157.48</x:v>
      </x:c>
      <x:c r="Q106" s="5" t="n">
        <x:f>ROUND(O106-P106,2)</x:f>
        <x:v>0</x:v>
      </x:c>
      <x:c r="R106" s="5" t="n">
        <x:f>SUM(Rutas_Base!L148)</x:f>
        <x:v>600.4</x:v>
      </x:c>
      <x:c r="S106" s="5" t="n">
        <x:f>ROUND(P106/Vehiculos!$E$3*Vehiculos!$F$3,2)</x:f>
        <x:v>571.81</x:v>
      </x:c>
      <x:c r="T106" s="5" t="n">
        <x:f>ROUND(R106-S106,2)</x:f>
        <x:v>28.59</x:v>
      </x:c>
      <x:c r="U106" s="5" t="n">
        <x:f>SUM(Rutas_Base!O148)</x:f>
        <x:v>209</x:v>
      </x:c>
      <x:c r="V106" s="5" t="n">
        <x:f>ROUND(P106/Vehiculos!$G$3*60+H106*8,0)</x:f>
        <x:v>205</x:v>
      </x:c>
      <x:c r="W106" s="5" t="n">
        <x:f>U106-V106</x:f>
        <x:v>4</x:v>
      </x:c>
      <x:c r="X106" s="1" t="n">
        <x:f>Vehiculos!$D$3</x:f>
        <x:v>12</x:v>
      </x:c>
      <x:c r="Y106" s="1" t="str">
        <x:f>IF(H106&lt;=X106,"Sí","No")</x:f>
        <x:v>Sí</x:v>
      </x:c>
      <x:c r="Z106" s="1" t="str">
        <x:f>IF(V106&lt;=Parametros_Operacion!$H$13,"Sí","No")</x:f>
        <x:v>Sí</x:v>
      </x:c>
      <x:c r="AA106" s="1" t="str">
        <x:f>IF(Q106&gt;0,"Ahorro por ruta compartida","Sin ahorro: recorrido equivalente")</x:f>
        <x:v>Sin ahorro: recorrido equivalente</x:v>
      </x:c>
    </x:row>
    <x:row r="107">
      <x:c r="A107" s="1" t="str">
        <x:v>PL-20260608-Z3</x:v>
      </x:c>
      <x:c r="B107" s="1" t="str">
        <x:v>2026-06-08</x:v>
      </x:c>
      <x:c r="C107" s="1" t="str">
        <x:v>Z3</x:v>
      </x:c>
      <x:c r="D107" s="1" t="str">
        <x:v>Esparta</x:v>
      </x:c>
      <x:c r="E107" s="1" t="str">
        <x:v>R007</x:v>
      </x:c>
      <x:c r="F107" s="1" t="str">
        <x:v>María Hernández</x:v>
      </x:c>
      <x:c r="G107" s="1" t="str">
        <x:v>V007</x:v>
      </x:c>
      <x:c r="H107" s="1" t="n">
        <x:v>1</x:v>
      </x:c>
      <x:c r="I107" s="1" t="str">
        <x:v>RT-20260608-R007</x:v>
      </x:c>
      <x:c r="J107" s="1" t="n">
        <x:v>1</x:v>
      </x:c>
      <x:c r="K107" s="5" t="n">
        <x:f>SUM(Rutas_Base!T149,Rutas_Base!W149)</x:f>
        <x:v>151</x:v>
      </x:c>
      <x:c r="L107" s="5" t="n">
        <x:f>2*MAX(Parametros_Operacion!$B$4)</x:f>
        <x:v>151</x:v>
      </x:c>
      <x:c r="M107" s="5" t="n">
        <x:f>SUM(Rutas_Base!U149)</x:f>
        <x:v>4.84</x:v>
      </x:c>
      <x:c r="N107" s="5" t="n">
        <x:f>SUM(Rutas_Base!V149)</x:f>
        <x:v>4.84</x:v>
      </x:c>
      <x:c r="O107" s="5" t="n">
        <x:f>SUM(Rutas_Base!H149)</x:f>
        <x:v>155.84</x:v>
      </x:c>
      <x:c r="P107" s="5" t="n">
        <x:f>ROUND(L107+N107,2)</x:f>
        <x:v>155.84</x:v>
      </x:c>
      <x:c r="Q107" s="5" t="n">
        <x:f>ROUND(O107-P107,2)</x:f>
        <x:v>0</x:v>
      </x:c>
      <x:c r="R107" s="5" t="n">
        <x:f>SUM(Rutas_Base!L149)</x:f>
        <x:v>594.14</x:v>
      </x:c>
      <x:c r="S107" s="5" t="n">
        <x:f>ROUND(P107/Vehiculos!$E$8*Vehiculos!$F$8,2)</x:f>
        <x:v>594.14</x:v>
      </x:c>
      <x:c r="T107" s="5" t="n">
        <x:f>ROUND(R107-S107,2)</x:f>
        <x:v>0</x:v>
      </x:c>
      <x:c r="U107" s="5" t="n">
        <x:f>SUM(Rutas_Base!O149)</x:f>
        <x:v>211</x:v>
      </x:c>
      <x:c r="V107" s="5" t="n">
        <x:f>ROUND(P107/Vehiculos!$G$8*60+H107*8,0)</x:f>
        <x:v>211</x:v>
      </x:c>
      <x:c r="W107" s="5" t="n">
        <x:f>U107-V107</x:f>
        <x:v>0</x:v>
      </x:c>
      <x:c r="X107" s="1" t="n">
        <x:f>Vehiculos!$D$8</x:f>
        <x:v>12</x:v>
      </x:c>
      <x:c r="Y107" s="1" t="str">
        <x:f>IF(H107&lt;=X107,"Sí","No")</x:f>
        <x:v>Sí</x:v>
      </x:c>
      <x:c r="Z107" s="1" t="str">
        <x:f>IF(V107&lt;=Parametros_Operacion!$H$13,"Sí","No")</x:f>
        <x:v>Sí</x:v>
      </x:c>
      <x:c r="AA107" s="1" t="str">
        <x:f>IF(Q107&gt;0,"Ahorro por ruta compartida","Sin ahorro: recorrido equivalente")</x:f>
        <x:v>Sin ahorro: recorrido equivalente</x:v>
      </x:c>
    </x:row>
    <x:row r="108">
      <x:c r="A108" s="1" t="str">
        <x:v>PL-20260611-Z1</x:v>
      </x:c>
      <x:c r="B108" s="1" t="str">
        <x:v>2026-06-11</x:v>
      </x:c>
      <x:c r="C108" s="1" t="str">
        <x:v>Z1</x:v>
      </x:c>
      <x:c r="D108" s="1" t="str">
        <x:v>Jutiapa</x:v>
      </x:c>
      <x:c r="E108" s="1" t="str">
        <x:v>R001</x:v>
      </x:c>
      <x:c r="F108" s="1" t="str">
        <x:v>Carlos Mejía</x:v>
      </x:c>
      <x:c r="G108" s="1" t="str">
        <x:v>V001</x:v>
      </x:c>
      <x:c r="H108" s="1" t="n">
        <x:v>1</x:v>
      </x:c>
      <x:c r="I108" s="1" t="str">
        <x:v>RT-20260611-R003</x:v>
      </x:c>
      <x:c r="J108" s="1" t="n">
        <x:v>1</x:v>
      </x:c>
      <x:c r="K108" s="5" t="n">
        <x:f>SUM(Rutas_Base!T150,Rutas_Base!W150)</x:f>
        <x:v>62.8</x:v>
      </x:c>
      <x:c r="L108" s="5" t="n">
        <x:f>2*MAX(Parametros_Operacion!$B$5)</x:f>
        <x:v>62.8</x:v>
      </x:c>
      <x:c r="M108" s="5" t="n">
        <x:f>SUM(Rutas_Base!U150)</x:f>
        <x:v>5.24</x:v>
      </x:c>
      <x:c r="N108" s="5" t="n">
        <x:f>SUM(Rutas_Base!V150)</x:f>
        <x:v>5.24</x:v>
      </x:c>
      <x:c r="O108" s="5" t="n">
        <x:f>SUM(Rutas_Base!H150)</x:f>
        <x:v>68.04</x:v>
      </x:c>
      <x:c r="P108" s="5" t="n">
        <x:f>ROUND(L108+N108,2)</x:f>
        <x:v>68.04</x:v>
      </x:c>
      <x:c r="Q108" s="5" t="n">
        <x:f>ROUND(O108-P108,2)</x:f>
        <x:v>0</x:v>
      </x:c>
      <x:c r="R108" s="5" t="n">
        <x:f>SUM(Rutas_Base!L150)</x:f>
        <x:v>259.4</x:v>
      </x:c>
      <x:c r="S108" s="5" t="n">
        <x:f>ROUND(P108/Vehiculos!$E$2*Vehiculos!$F$2,2)</x:f>
        <x:v>235.82</x:v>
      </x:c>
      <x:c r="T108" s="5" t="n">
        <x:f>ROUND(R108-S108,2)</x:f>
        <x:v>23.58</x:v>
      </x:c>
      <x:c r="U108" s="5" t="n">
        <x:f>SUM(Rutas_Base!O150)</x:f>
        <x:v>95</x:v>
      </x:c>
      <x:c r="V108" s="5" t="n">
        <x:f>ROUND(P108/Vehiculos!$G$2*60+H108*8,0)</x:f>
        <x:v>90</x:v>
      </x:c>
      <x:c r="W108" s="5" t="n">
        <x:f>U108-V108</x:f>
        <x:v>5</x:v>
      </x:c>
      <x:c r="X108" s="1" t="n">
        <x:f>Vehiculos!$D$2</x:f>
        <x:v>12</x:v>
      </x:c>
      <x:c r="Y108" s="1" t="str">
        <x:f>IF(H108&lt;=X108,"Sí","No")</x:f>
        <x:v>Sí</x:v>
      </x:c>
      <x:c r="Z108" s="1" t="str">
        <x:f>IF(V108&lt;=Parametros_Operacion!$H$13,"Sí","No")</x:f>
        <x:v>Sí</x:v>
      </x:c>
      <x:c r="AA108" s="1" t="str">
        <x:f>IF(Q108&gt;0,"Ahorro por ruta compartida","Sin ahorro: recorrido equivalente")</x:f>
        <x:v>Sin ahorro: recorrido equivalente</x:v>
      </x:c>
    </x:row>
    <x:row r="109">
      <x:c r="A109" s="1" t="str">
        <x:v>PL-20260614-Z3</x:v>
      </x:c>
      <x:c r="B109" s="1" t="str">
        <x:v>2026-06-14</x:v>
      </x:c>
      <x:c r="C109" s="1" t="str">
        <x:v>Z3</x:v>
      </x:c>
      <x:c r="D109" s="1" t="str">
        <x:v>Esparta</x:v>
      </x:c>
      <x:c r="E109" s="1" t="str">
        <x:v>R007</x:v>
      </x:c>
      <x:c r="F109" s="1" t="str">
        <x:v>María Hernández</x:v>
      </x:c>
      <x:c r="G109" s="1" t="str">
        <x:v>V007</x:v>
      </x:c>
      <x:c r="H109" s="1" t="n">
        <x:v>1</x:v>
      </x:c>
      <x:c r="I109" s="1" t="str">
        <x:v>RT-20260614-R007</x:v>
      </x:c>
      <x:c r="J109" s="1" t="n">
        <x:v>1</x:v>
      </x:c>
      <x:c r="K109" s="5" t="n">
        <x:f>SUM(Rutas_Base!T151,Rutas_Base!W151)</x:f>
        <x:v>151</x:v>
      </x:c>
      <x:c r="L109" s="5" t="n">
        <x:f>2*MAX(Parametros_Operacion!$B$4)</x:f>
        <x:v>151</x:v>
      </x:c>
      <x:c r="M109" s="5" t="n">
        <x:f>SUM(Rutas_Base!U151)</x:f>
        <x:v>4.84</x:v>
      </x:c>
      <x:c r="N109" s="5" t="n">
        <x:f>SUM(Rutas_Base!V151)</x:f>
        <x:v>4.84</x:v>
      </x:c>
      <x:c r="O109" s="5" t="n">
        <x:f>SUM(Rutas_Base!H151)</x:f>
        <x:v>155.84</x:v>
      </x:c>
      <x:c r="P109" s="5" t="n">
        <x:f>ROUND(L109+N109,2)</x:f>
        <x:v>155.84</x:v>
      </x:c>
      <x:c r="Q109" s="5" t="n">
        <x:f>ROUND(O109-P109,2)</x:f>
        <x:v>0</x:v>
      </x:c>
      <x:c r="R109" s="5" t="n">
        <x:f>SUM(Rutas_Base!L151)</x:f>
        <x:v>594.14</x:v>
      </x:c>
      <x:c r="S109" s="5" t="n">
        <x:f>ROUND(P109/Vehiculos!$E$8*Vehiculos!$F$8,2)</x:f>
        <x:v>594.14</x:v>
      </x:c>
      <x:c r="T109" s="5" t="n">
        <x:f>ROUND(R109-S109,2)</x:f>
        <x:v>0</x:v>
      </x:c>
      <x:c r="U109" s="5" t="n">
        <x:f>SUM(Rutas_Base!O151)</x:f>
        <x:v>211</x:v>
      </x:c>
      <x:c r="V109" s="5" t="n">
        <x:f>ROUND(P109/Vehiculos!$G$8*60+H109*8,0)</x:f>
        <x:v>211</x:v>
      </x:c>
      <x:c r="W109" s="5" t="n">
        <x:f>U109-V109</x:f>
        <x:v>0</x:v>
      </x:c>
      <x:c r="X109" s="1" t="n">
        <x:f>Vehiculos!$D$8</x:f>
        <x:v>12</x:v>
      </x:c>
      <x:c r="Y109" s="1" t="str">
        <x:f>IF(H109&lt;=X109,"Sí","No")</x:f>
        <x:v>Sí</x:v>
      </x:c>
      <x:c r="Z109" s="1" t="str">
        <x:f>IF(V109&lt;=Parametros_Operacion!$H$13,"Sí","No")</x:f>
        <x:v>Sí</x:v>
      </x:c>
      <x:c r="AA109" s="1" t="str">
        <x:f>IF(Q109&gt;0,"Ahorro por ruta compartida","Sin ahorro: recorrido equivalente")</x:f>
        <x:v>Sin ahorro: recorrido equivalente</x:v>
      </x:c>
    </x:row>
    <x:row r="110">
      <x:c r="A110" s="1" t="str">
        <x:v>PL-20260617-Z3</x:v>
      </x:c>
      <x:c r="B110" s="1" t="str">
        <x:v>2026-06-17</x:v>
      </x:c>
      <x:c r="C110" s="1" t="str">
        <x:v>Z3</x:v>
      </x:c>
      <x:c r="D110" s="1" t="str">
        <x:v>Esparta</x:v>
      </x:c>
      <x:c r="E110" s="1" t="str">
        <x:v>R007</x:v>
      </x:c>
      <x:c r="F110" s="1" t="str">
        <x:v>María Hernández</x:v>
      </x:c>
      <x:c r="G110" s="1" t="str">
        <x:v>V007</x:v>
      </x:c>
      <x:c r="H110" s="1" t="n">
        <x:v>1</x:v>
      </x:c>
      <x:c r="I110" s="1" t="str">
        <x:v>RT-20260617-R007</x:v>
      </x:c>
      <x:c r="J110" s="1" t="n">
        <x:v>1</x:v>
      </x:c>
      <x:c r="K110" s="5" t="n">
        <x:f>SUM(Rutas_Base!T152,Rutas_Base!W152)</x:f>
        <x:v>151</x:v>
      </x:c>
      <x:c r="L110" s="5" t="n">
        <x:f>2*MAX(Parametros_Operacion!$B$4)</x:f>
        <x:v>151</x:v>
      </x:c>
      <x:c r="M110" s="5" t="n">
        <x:f>SUM(Rutas_Base!U152)</x:f>
        <x:v>3.7</x:v>
      </x:c>
      <x:c r="N110" s="5" t="n">
        <x:f>SUM(Rutas_Base!V152)</x:f>
        <x:v>3.7</x:v>
      </x:c>
      <x:c r="O110" s="5" t="n">
        <x:f>SUM(Rutas_Base!H152)</x:f>
        <x:v>154.7</x:v>
      </x:c>
      <x:c r="P110" s="5" t="n">
        <x:f>ROUND(L110+N110,2)</x:f>
        <x:v>154.7</x:v>
      </x:c>
      <x:c r="Q110" s="5" t="n">
        <x:f>ROUND(O110-P110,2)</x:f>
        <x:v>0</x:v>
      </x:c>
      <x:c r="R110" s="5" t="n">
        <x:f>SUM(Rutas_Base!L152)</x:f>
        <x:v>589.8</x:v>
      </x:c>
      <x:c r="S110" s="5" t="n">
        <x:f>ROUND(P110/Vehiculos!$E$8*Vehiculos!$F$8,2)</x:f>
        <x:v>589.8</x:v>
      </x:c>
      <x:c r="T110" s="5" t="n">
        <x:f>ROUND(R110-S110,2)</x:f>
        <x:v>0</x:v>
      </x:c>
      <x:c r="U110" s="5" t="n">
        <x:f>SUM(Rutas_Base!O152)</x:f>
        <x:v>210</x:v>
      </x:c>
      <x:c r="V110" s="5" t="n">
        <x:f>ROUND(P110/Vehiculos!$G$8*60+H110*8,0)</x:f>
        <x:v>210</x:v>
      </x:c>
      <x:c r="W110" s="5" t="n">
        <x:f>U110-V110</x:f>
        <x:v>0</x:v>
      </x:c>
      <x:c r="X110" s="1" t="n">
        <x:f>Vehiculos!$D$8</x:f>
        <x:v>12</x:v>
      </x:c>
      <x:c r="Y110" s="1" t="str">
        <x:f>IF(H110&lt;=X110,"Sí","No")</x:f>
        <x:v>Sí</x:v>
      </x:c>
      <x:c r="Z110" s="1" t="str">
        <x:f>IF(V110&lt;=Parametros_Operacion!$H$13,"Sí","No")</x:f>
        <x:v>Sí</x:v>
      </x:c>
      <x:c r="AA110" s="1" t="str">
        <x:f>IF(Q110&gt;0,"Ahorro por ruta compartida","Sin ahorro: recorrido equivalente")</x:f>
        <x:v>Sin ahorro: recorrido equivalente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890000343322754" hidden="0" customWidth="1"/>
    <x:col min="2" max="2" width="29.440000534057617" hidden="0" customWidth="1"/>
    <x:col min="3" max="3" width="23.329999923706055" hidden="0" customWidth="1"/>
    <x:col min="4" max="4" width="17.219999313354492" hidden="0" customWidth="1"/>
    <x:col min="5" max="5" width="12.779999732971191" hidden="0" customWidth="1"/>
    <x:col min="6" max="6" width="14.4399995803833" hidden="0" customWidth="1"/>
    <x:col min="7" max="7" width="17.219999313354492" hidden="0" customWidth="1"/>
    <x:col min="8" max="8" width="21.110000610351562" hidden="0" customWidth="1"/>
    <x:col min="9" max="9" width="24.440000534057617" hidden="0" customWidth="1"/>
    <x:col min="10" max="10" width="15" hidden="0" customWidth="1"/>
    <x:col min="11" max="11" width="19.440000534057617" hidden="0" customWidth="1"/>
    <x:col min="12" max="12" width="17.780000686645508" hidden="0" customWidth="1"/>
    <x:col min="13" max="13" width="19.440000534057617" hidden="0" customWidth="1"/>
    <x:col min="14" max="14" width="17.780000686645508" hidden="0" customWidth="1"/>
    <x:col min="15" max="15" width="20" hidden="0" customWidth="1"/>
    <x:col min="16" max="16" width="23.329999923706055" hidden="0" customWidth="1"/>
    <x:col min="17" max="17" width="20.559999465942383" hidden="0" customWidth="1"/>
    <x:col min="18" max="18" width="18.889999389648438" hidden="0" customWidth="1"/>
    <x:col min="19" max="19" width="18.329999923706055" hidden="0" customWidth="1"/>
    <x:col min="20" max="20" width="25.559999465942383" hidden="0" customWidth="1"/>
  </x:cols>
  <x:sheetData>
    <x:row r="1" ht="30" customHeight="1">
      <x:c r="A1" s="3" t="str">
        <x:v>zona_propuesta</x:v>
      </x:c>
      <x:c r="B1" s="3" t="str">
        <x:v>municipios</x:v>
      </x:c>
      <x:c r="C1" s="3" t="str">
        <x:v>repartidor_propuesto</x:v>
      </x:c>
      <x:c r="D1" s="3" t="str">
        <x:v>vehiculo_propuesto</x:v>
      </x:c>
      <x:c r="E1" s="3" t="str">
        <x:v>pedidos</x:v>
      </x:c>
      <x:c r="F1" s="3" t="str">
        <x:v>rutas_base</x:v>
      </x:c>
      <x:c r="G1" s="3" t="str">
        <x:v>rutas_propuestas</x:v>
      </x:c>
      <x:c r="H1" s="3" t="str">
        <x:v>distancia_actual_km</x:v>
      </x:c>
      <x:c r="I1" s="3" t="str">
        <x:v>distancia_optimizada_km</x:v>
      </x:c>
      <x:c r="J1" s="3" t="str">
        <x:v>ahorro_km</x:v>
      </x:c>
      <x:c r="K1" s="3" t="str">
        <x:v>ahorro_porcentaje</x:v>
      </x:c>
      <x:c r="L1" s="3" t="str">
        <x:v>costo_actual</x:v>
      </x:c>
      <x:c r="M1" s="3" t="str">
        <x:v>costo_optimizado</x:v>
      </x:c>
      <x:c r="N1" s="3" t="str">
        <x:v>ahorro_costo</x:v>
      </x:c>
      <x:c r="O1" s="3" t="str">
        <x:v>tiempo_actual_min</x:v>
      </x:c>
      <x:c r="P1" s="3" t="str">
        <x:v>tiempo_optimizado_min</x:v>
      </x:c>
      <x:c r="Q1" s="3" t="str">
        <x:v>ahorro_tiempo_min</x:v>
      </x:c>
      <x:c r="R1" s="3" t="str">
        <x:v>dias_sobre_capacidad</x:v>
      </x:c>
      <x:c r="S1" s="3" t="str">
        <x:v>dias_sobre_8h</x:v>
      </x:c>
      <x:c r="T1" s="3" t="str">
        <x:v>ahorro_salario_mensual_sup_L</x:v>
      </x:c>
    </x:row>
    <x:row r="2">
      <x:c r="A2" s="1" t="str">
        <x:v>Z1</x:v>
      </x:c>
      <x:c r="B2" s="1" t="str">
        <x:v>La Ceiba + Jutiapa</x:v>
      </x:c>
      <x:c r="C2" s="1" t="str">
        <x:v>Carlos Mejía</x:v>
      </x:c>
      <x:c r="D2" s="1" t="str">
        <x:v>V001</x:v>
      </x:c>
      <x:c r="E2" s="1" t="n">
        <x:f>SUMIF(Rutas_Diarias!$C$2:$C$110,A2,Rutas_Diarias!$H$2:$H$110)</x:f>
        <x:v>53</x:v>
      </x:c>
      <x:c r="F2" s="1" t="n">
        <x:f>SUMIF(Rutas_Diarias!$C$2:$C$110,A2,Rutas_Diarias!$J$2:$J$110)</x:f>
        <x:v>36</x:v>
      </x:c>
      <x:c r="G2" s="1" t="n">
        <x:f>COUNTIF(Rutas_Diarias!$C$2:$C$110,A2)</x:f>
        <x:v>28</x:v>
      </x:c>
      <x:c r="H2" s="5" t="n">
        <x:f>SUMIF(Rutas_Diarias!$C$2:$C$110,A2,Rutas_Diarias!$O$2:$O$110)</x:f>
        <x:v>1205.19</x:v>
      </x:c>
      <x:c r="I2" s="5" t="n">
        <x:f>SUMIF(Rutas_Diarias!$C$2:$C$110,A2,Rutas_Diarias!$P$2:$P$110)</x:f>
        <x:v>1202.69</x:v>
      </x:c>
      <x:c r="J2" s="5" t="n">
        <x:f>ROUND(H2-I2,2)</x:f>
        <x:v>2.5</x:v>
      </x:c>
      <x:c r="K2" s="5" t="n">
        <x:f>ROUND(100*J2/H2,1)</x:f>
        <x:v>0.2</x:v>
      </x:c>
      <x:c r="L2" s="5" t="n">
        <x:f>SUMIF(Rutas_Diarias!$C$2:$C$110,A2,Rutas_Diarias!$R$2:$R$110)</x:f>
        <x:v>4514.609999999999</x:v>
      </x:c>
      <x:c r="M2" s="5" t="n">
        <x:f>SUMIF(Rutas_Diarias!$C$2:$C$110,A2,Rutas_Diarias!$S$2:$S$110)</x:f>
        <x:v>4168.43</x:v>
      </x:c>
      <x:c r="N2" s="5" t="n">
        <x:f>ROUND(L2-M2,2)</x:f>
        <x:v>346.18</x:v>
      </x:c>
      <x:c r="O2" s="5" t="n">
        <x:f>SUMIF(Rutas_Diarias!$C$2:$C$110,A2,Rutas_Diarias!$U$2:$U$110)</x:f>
        <x:v>1944</x:v>
      </x:c>
      <x:c r="P2" s="5" t="n">
        <x:f>SUMIF(Rutas_Diarias!$C$2:$C$110,A2,Rutas_Diarias!$V$2:$V$110)</x:f>
        <x:v>1867</x:v>
      </x:c>
      <x:c r="Q2" s="5" t="n">
        <x:f>O2-P2</x:f>
        <x:v>77</x:v>
      </x:c>
      <x:c r="R2" s="1" t="n">
        <x:f>COUNTIFS(Rutas_Diarias!$C$2:$C$110,A2,Rutas_Diarias!$Y$2:$Y$110,"No")</x:f>
        <x:v>0</x:v>
      </x:c>
      <x:c r="S2" s="1" t="n">
        <x:f>COUNTIFS(Rutas_Diarias!$C$2:$C$110,A2,Rutas_Diarias!$Z$2:$Z$110,"No")</x:f>
        <x:v>0</x:v>
      </x:c>
      <x:c r="T2" s="1" t="n">
        <x:f>Parametros_Operacion!$H$12</x:f>
        <x:v>18000</x:v>
      </x:c>
    </x:row>
    <x:row r="3">
      <x:c r="A3" s="1" t="str">
        <x:v>Z2</x:v>
      </x:c>
      <x:c r="B3" s="1" t="str">
        <x:v>El Porvenir + San Francisco</x:v>
      </x:c>
      <x:c r="C3" s="1" t="str">
        <x:v>Daniela Cruz</x:v>
      </x:c>
      <x:c r="D3" s="1" t="str">
        <x:v>V004</x:v>
      </x:c>
      <x:c r="E3" s="1" t="n">
        <x:f>SUMIF(Rutas_Diarias!$C$2:$C$110,A3,Rutas_Diarias!$H$2:$H$110)</x:f>
        <x:v>25</x:v>
      </x:c>
      <x:c r="F3" s="1" t="n">
        <x:f>SUMIF(Rutas_Diarias!$C$2:$C$110,A3,Rutas_Diarias!$J$2:$J$110)</x:f>
        <x:v>23</x:v>
      </x:c>
      <x:c r="G3" s="1" t="n">
        <x:f>COUNTIF(Rutas_Diarias!$C$2:$C$110,A3)</x:f>
        <x:v>19</x:v>
      </x:c>
      <x:c r="H3" s="5" t="n">
        <x:f>SUMIF(Rutas_Diarias!$C$2:$C$110,A3,Rutas_Diarias!$O$2:$O$110)</x:f>
        <x:v>1431.17</x:v>
      </x:c>
      <x:c r="I3" s="5" t="n">
        <x:f>SUMIF(Rutas_Diarias!$C$2:$C$110,A3,Rutas_Diarias!$P$2:$P$110)</x:f>
        <x:v>1299.17</x:v>
      </x:c>
      <x:c r="J3" s="5" t="n">
        <x:f>ROUND(H3-I3,2)</x:f>
        <x:v>132</x:v>
      </x:c>
      <x:c r="K3" s="5" t="n">
        <x:f>ROUND(100*J3/H3,1)</x:f>
        <x:v>9.2</x:v>
      </x:c>
      <x:c r="L3" s="5" t="n">
        <x:f>SUMIF(Rutas_Diarias!$C$2:$C$110,A3,Rutas_Diarias!$R$2:$R$110)</x:f>
        <x:v>6918.33</x:v>
      </x:c>
      <x:c r="M3" s="5" t="n">
        <x:f>SUMIF(Rutas_Diarias!$C$2:$C$110,A3,Rutas_Diarias!$S$2:$S$110)</x:f>
        <x:v>4717.26</x:v>
      </x:c>
      <x:c r="N3" s="5" t="n">
        <x:f>ROUND(L3-M3,2)</x:f>
        <x:v>2201.07</x:v>
      </x:c>
      <x:c r="O3" s="5" t="n">
        <x:f>SUMIF(Rutas_Diarias!$C$2:$C$110,A3,Rutas_Diarias!$U$2:$U$110)</x:f>
        <x:v>2207</x:v>
      </x:c>
      <x:c r="P3" s="5" t="n">
        <x:f>SUMIF(Rutas_Diarias!$C$2:$C$110,A3,Rutas_Diarias!$V$2:$V$110)</x:f>
        <x:v>1789</x:v>
      </x:c>
      <x:c r="Q3" s="5" t="n">
        <x:f>O3-P3</x:f>
        <x:v>418</x:v>
      </x:c>
      <x:c r="R3" s="1" t="n">
        <x:f>COUNTIFS(Rutas_Diarias!$C$2:$C$110,A3,Rutas_Diarias!$Y$2:$Y$110,"No")</x:f>
        <x:v>0</x:v>
      </x:c>
      <x:c r="S3" s="1" t="n">
        <x:f>COUNTIFS(Rutas_Diarias!$C$2:$C$110,A3,Rutas_Diarias!$Z$2:$Z$110,"No")</x:f>
        <x:v>0</x:v>
      </x:c>
      <x:c r="T3" s="1" t="n">
        <x:f>Parametros_Operacion!$H$12</x:f>
        <x:v>18000</x:v>
      </x:c>
    </x:row>
    <x:row r="4">
      <x:c r="A4" s="1" t="str">
        <x:v>Z3</x:v>
      </x:c>
      <x:c r="B4" s="1" t="str">
        <x:v>La Masica + Esparta</x:v>
      </x:c>
      <x:c r="C4" s="1" t="str">
        <x:v>María Hernández</x:v>
      </x:c>
      <x:c r="D4" s="1" t="str">
        <x:v>V007</x:v>
      </x:c>
      <x:c r="E4" s="1" t="n">
        <x:f>SUMIF(Rutas_Diarias!$C$2:$C$110,A4,Rutas_Diarias!$H$2:$H$110)</x:f>
        <x:v>98</x:v>
      </x:c>
      <x:c r="F4" s="1" t="n">
        <x:f>SUMIF(Rutas_Diarias!$C$2:$C$110,A4,Rutas_Diarias!$J$2:$J$110)</x:f>
        <x:v>55</x:v>
      </x:c>
      <x:c r="G4" s="1" t="n">
        <x:f>COUNTIF(Rutas_Diarias!$C$2:$C$110,A4)</x:f>
        <x:v>34</x:v>
      </x:c>
      <x:c r="H4" s="5" t="n">
        <x:f>SUMIF(Rutas_Diarias!$C$2:$C$110,A4,Rutas_Diarias!$O$2:$O$110)</x:f>
        <x:v>6815.580000000001</x:v>
      </x:c>
      <x:c r="I4" s="5" t="n">
        <x:f>SUMIF(Rutas_Diarias!$C$2:$C$110,A4,Rutas_Diarias!$P$2:$P$110)</x:f>
        <x:v>5061.739999999999</x:v>
      </x:c>
      <x:c r="J4" s="5" t="n">
        <x:f>ROUND(H4-I4,2)</x:f>
        <x:v>1753.84</x:v>
      </x:c>
      <x:c r="K4" s="5" t="n">
        <x:f>ROUND(100*J4/H4,1)</x:f>
        <x:v>25.7</x:v>
      </x:c>
      <x:c r="L4" s="5" t="n">
        <x:f>SUMIF(Rutas_Diarias!$C$2:$C$110,A4,Rutas_Diarias!$R$2:$R$110)</x:f>
        <x:v>25495.499999999996</x:v>
      </x:c>
      <x:c r="M4" s="5" t="n">
        <x:f>SUMIF(Rutas_Diarias!$C$2:$C$110,A4,Rutas_Diarias!$S$2:$S$110)</x:f>
        <x:v>19298.069999999996</x:v>
      </x:c>
      <x:c r="N4" s="5" t="n">
        <x:f>ROUND(L4-M4,2)</x:f>
        <x:v>6197.43</x:v>
      </x:c>
      <x:c r="O4" s="5" t="n">
        <x:f>SUMIF(Rutas_Diarias!$C$2:$C$110,A4,Rutas_Diarias!$U$2:$U$110)</x:f>
        <x:v>9458</x:v>
      </x:c>
      <x:c r="P4" s="5" t="n">
        <x:f>SUMIF(Rutas_Diarias!$C$2:$C$110,A4,Rutas_Diarias!$V$2:$V$110)</x:f>
        <x:v>7383</x:v>
      </x:c>
      <x:c r="Q4" s="5" t="n">
        <x:f>O4-P4</x:f>
        <x:v>2075</x:v>
      </x:c>
      <x:c r="R4" s="1" t="n">
        <x:f>COUNTIFS(Rutas_Diarias!$C$2:$C$110,A4,Rutas_Diarias!$Y$2:$Y$110,"No")</x:f>
        <x:v>0</x:v>
      </x:c>
      <x:c r="S4" s="1" t="n">
        <x:f>COUNTIFS(Rutas_Diarias!$C$2:$C$110,A4,Rutas_Diarias!$Z$2:$Z$110,"No")</x:f>
        <x:v>0</x:v>
      </x:c>
      <x:c r="T4" s="1" t="n">
        <x:f>Parametros_Operacion!$H$12</x:f>
        <x:v>18000</x:v>
      </x:c>
    </x:row>
    <x:row r="5">
      <x:c r="A5" s="1" t="str">
        <x:v>Z4</x:v>
      </x:c>
      <x:c r="B5" s="1" t="str">
        <x:v>Arizona + Tela</x:v>
      </x:c>
      <x:c r="C5" s="1" t="str">
        <x:v>Ana López</x:v>
      </x:c>
      <x:c r="D5" s="1" t="str">
        <x:v>V002</x:v>
      </x:c>
      <x:c r="E5" s="1" t="n">
        <x:f>SUMIF(Rutas_Diarias!$C$2:$C$110,A5,Rutas_Diarias!$H$2:$H$110)</x:f>
        <x:v>54</x:v>
      </x:c>
      <x:c r="F5" s="1" t="n">
        <x:f>SUMIF(Rutas_Diarias!$C$2:$C$110,A5,Rutas_Diarias!$J$2:$J$110)</x:f>
        <x:v>37</x:v>
      </x:c>
      <x:c r="G5" s="1" t="n">
        <x:f>COUNTIF(Rutas_Diarias!$C$2:$C$110,A5)</x:f>
        <x:v>28</x:v>
      </x:c>
      <x:c r="H5" s="5" t="n">
        <x:f>SUMIF(Rutas_Diarias!$C$2:$C$110,A5,Rutas_Diarias!$O$2:$O$110)</x:f>
        <x:v>6832.869999999998</x:v>
      </x:c>
      <x:c r="I5" s="5" t="n">
        <x:f>SUMIF(Rutas_Diarias!$C$2:$C$110,A5,Rutas_Diarias!$P$2:$P$110)</x:f>
        <x:v>5526.469999999999</x:v>
      </x:c>
      <x:c r="J5" s="5" t="n">
        <x:f>ROUND(H5-I5,2)</x:f>
        <x:v>1306.4</x:v>
      </x:c>
      <x:c r="K5" s="5" t="n">
        <x:f>ROUND(100*J5/H5,1)</x:f>
        <x:v>19.1</x:v>
      </x:c>
      <x:c r="L5" s="5" t="n">
        <x:f>SUMIF(Rutas_Diarias!$C$2:$C$110,A5,Rutas_Diarias!$R$2:$R$110)</x:f>
        <x:v>25314.270000000004</x:v>
      </x:c>
      <x:c r="M5" s="5" t="n">
        <x:f>SUMIF(Rutas_Diarias!$C$2:$C$110,A5,Rutas_Diarias!$S$2:$S$110)</x:f>
        <x:v>20066.550000000003</x:v>
      </x:c>
      <x:c r="N5" s="5" t="n">
        <x:f>ROUND(L5-M5,2)</x:f>
        <x:v>5247.72</x:v>
      </x:c>
      <x:c r="O5" s="5" t="n">
        <x:f>SUMIF(Rutas_Diarias!$C$2:$C$110,A5,Rutas_Diarias!$U$2:$U$110)</x:f>
        <x:v>9046</x:v>
      </x:c>
      <x:c r="P5" s="5" t="n">
        <x:f>SUMIF(Rutas_Diarias!$C$2:$C$110,A5,Rutas_Diarias!$V$2:$V$110)</x:f>
        <x:v>7342</x:v>
      </x:c>
      <x:c r="Q5" s="5" t="n">
        <x:f>O5-P5</x:f>
        <x:v>1704</x:v>
      </x:c>
      <x:c r="R5" s="1" t="n">
        <x:f>COUNTIFS(Rutas_Diarias!$C$2:$C$110,A5,Rutas_Diarias!$Y$2:$Y$110,"No")</x:f>
        <x:v>0</x:v>
      </x:c>
      <x:c r="S5" s="1" t="n">
        <x:f>COUNTIFS(Rutas_Diarias!$C$2:$C$110,A5,Rutas_Diarias!$Z$2:$Z$110,"No")</x:f>
        <x:v>0</x:v>
      </x:c>
      <x:c r="T5" s="1" t="n">
        <x:f>Parametros_Operacion!$H$12</x:f>
        <x:v>18000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329999923706055" hidden="0" customWidth="1"/>
    <x:col min="2" max="2" width="25" hidden="0" customWidth="1"/>
    <x:col min="3" max="3" width="17.780000686645508" hidden="0" customWidth="1"/>
    <x:col min="4" max="4" width="53.33000183105469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zona</x:v>
      </x:c>
      <x:c r="D1" s="3" t="str">
        <x:v>direccion_referencia</x:v>
      </x:c>
      <x:c r="E1" s="3" t="str">
        <x:v>latitud</x:v>
      </x:c>
      <x:c r="F1" s="3" t="str">
        <x:v>longitud</x:v>
      </x:c>
    </x:row>
    <x:row r="2">
      <x:c r="A2" s="1" t="str">
        <x:v>C001</x:v>
      </x:c>
      <x:c r="B2" s="1" t="str">
        <x:v>Pulpería Oseguera</x:v>
      </x:c>
      <x:c r="C2" s="1" t="str">
        <x:v>La Masica</x:v>
      </x:c>
      <x:c r="D2" s="1" t="str">
        <x:v>Barrio La Bolsa, frente al campo de fútbol</x:v>
      </x:c>
      <x:c r="E2" s="7" t="n">
        <x:v>15.62413862767416</x:v>
      </x:c>
      <x:c r="F2" s="7" t="n">
        <x:v>-86.73722407175156</x:v>
      </x:c>
    </x:row>
    <x:row r="3">
      <x:c r="A3" s="1" t="str">
        <x:v>C002</x:v>
      </x:c>
      <x:c r="B3" s="1" t="str">
        <x:v>Mini Súper La Bendición</x:v>
      </x:c>
      <x:c r="C3" s="1" t="str">
        <x:v>La Masica</x:v>
      </x:c>
      <x:c r="D3" s="1" t="str">
        <x:v>Barrio La Bolsa, frente al campo de fútbol</x:v>
      </x:c>
      <x:c r="E3" s="7" t="n">
        <x:v>15.63536931179393</x:v>
      </x:c>
      <x:c r="F3" s="7" t="n">
        <x:v>-86.70950059688887</x:v>
      </x:c>
    </x:row>
    <x:row r="4">
      <x:c r="A4" s="1" t="str">
        <x:v>C003</x:v>
      </x:c>
      <x:c r="B4" s="1" t="str">
        <x:v>Supermercado Rafael</x:v>
      </x:c>
      <x:c r="C4" s="1" t="str">
        <x:v>San Francisco</x:v>
      </x:c>
      <x:c r="D4" s="1" t="str">
        <x:v>Barrio Abajo, contiguo a ferretería municipal</x:v>
      </x:c>
      <x:c r="E4" s="7" t="n">
        <x:v>15.64049383890165</x:v>
      </x:c>
      <x:c r="F4" s="7" t="n">
        <x:v>-86.97798878026339</x:v>
      </x:c>
    </x:row>
    <x:row r="5">
      <x:c r="A5" s="1" t="str">
        <x:v>C004</x:v>
      </x:c>
      <x:c r="B5" s="1" t="str">
        <x:v>Comercial Rivera</x:v>
      </x:c>
      <x:c r="C5" s="1" t="str">
        <x:v>La Masica</x:v>
      </x:c>
      <x:c r="D5" s="1" t="str">
        <x:v>Colonia Primavera, detrás del centro de salud</x:v>
      </x:c>
      <x:c r="E5" s="7" t="n">
        <x:v>15.60892338902915</x:v>
      </x:c>
      <x:c r="F5" s="7" t="n">
        <x:v>-86.73871508090915</x:v>
      </x:c>
    </x:row>
    <x:row r="6">
      <x:c r="A6" s="1" t="str">
        <x:v>C005</x:v>
      </x:c>
      <x:c r="B6" s="1" t="str">
        <x:v>Mini Market San José</x:v>
      </x:c>
      <x:c r="C6" s="1" t="str">
        <x:v>Jutiapa</x:v>
      </x:c>
      <x:c r="D6" s="1" t="str">
        <x:v>Barrio Abajo, frente a la alcaldía municipal</x:v>
      </x:c>
      <x:c r="E6" s="7" t="n">
        <x:v>15.65312640811745</x:v>
      </x:c>
      <x:c r="F6" s="7" t="n">
        <x:v>-86.21601876891951</x:v>
      </x:c>
    </x:row>
    <x:row r="7">
      <x:c r="A7" s="1" t="str">
        <x:v>C006</x:v>
      </x:c>
      <x:c r="B7" s="1" t="str">
        <x:v>Abarrotería El Centro</x:v>
      </x:c>
      <x:c r="C7" s="1" t="str">
        <x:v>Jutiapa</x:v>
      </x:c>
      <x:c r="D7" s="1" t="str">
        <x:v>Barrio Abajo, frente a la alcaldía municipal</x:v>
      </x:c>
      <x:c r="E7" s="7" t="n">
        <x:v>15.69621823719406</x:v>
      </x:c>
      <x:c r="F7" s="7" t="n">
        <x:v>-86.1982096577805</x:v>
      </x:c>
    </x:row>
    <x:row r="8">
      <x:c r="A8" s="1" t="str">
        <x:v>C007</x:v>
      </x:c>
      <x:c r="B8" s="1" t="str">
        <x:v>Distribuidora El Faro</x:v>
      </x:c>
      <x:c r="C8" s="1" t="str">
        <x:v>Arizona</x:v>
      </x:c>
      <x:c r="D8" s="1" t="str">
        <x:v>Barrio El Centro, frente al parque</x:v>
      </x:c>
      <x:c r="E8" s="7" t="n">
        <x:v>15.65824299089472</x:v>
      </x:c>
      <x:c r="F8" s="7" t="n">
        <x:v>-87.37734008221386</x:v>
      </x:c>
    </x:row>
    <x:row r="9">
      <x:c r="A9" s="1" t="str">
        <x:v>C008</x:v>
      </x:c>
      <x:c r="B9" s="1" t="str">
        <x:v>Pulpería El Buen Vecino</x:v>
      </x:c>
      <x:c r="C9" s="1" t="str">
        <x:v>Esparta</x:v>
      </x:c>
      <x:c r="D9" s="1" t="str">
        <x:v>Barrio Suyapa, contiguo a agroservicio</x:v>
      </x:c>
      <x:c r="E9" s="7" t="n">
        <x:v>15.66265280736854</x:v>
      </x:c>
      <x:c r="F9" s="7" t="n">
        <x:v>-87.25434499998507</x:v>
      </x:c>
    </x:row>
    <x:row r="10">
      <x:c r="A10" s="1" t="str">
        <x:v>C009</x:v>
      </x:c>
      <x:c r="B10" s="1" t="str">
        <x:v>Mini Súper El Triunfo</x:v>
      </x:c>
      <x:c r="C10" s="1" t="str">
        <x:v>San Francisco</x:v>
      </x:c>
      <x:c r="D10" s="1" t="str">
        <x:v>Colonia Suyapa, esquina opuesta a farmacia</x:v>
      </x:c>
      <x:c r="E10" s="7" t="n">
        <x:v>15.6694910790675</x:v>
      </x:c>
      <x:c r="F10" s="7" t="n">
        <x:v>-87.00719051029638</x:v>
      </x:c>
    </x:row>
    <x:row r="11">
      <x:c r="A11" s="1" t="str">
        <x:v>C010</x:v>
      </x:c>
      <x:c r="B11" s="1" t="str">
        <x:v>Comercial La Costa</x:v>
      </x:c>
      <x:c r="C11" s="1" t="str">
        <x:v>Arizona</x:v>
      </x:c>
      <x:c r="D11" s="1" t="str">
        <x:v>Barrio La Esperanza, contiguo a tienda local</x:v>
      </x:c>
      <x:c r="E11" s="7" t="n">
        <x:v>15.61871939198217</x:v>
      </x:c>
      <x:c r="F11" s="7" t="n">
        <x:v>-87.37634942061808</x:v>
      </x:c>
    </x:row>
    <x:row r="12">
      <x:c r="A12" s="1" t="str">
        <x:v>C011</x:v>
      </x:c>
      <x:c r="B12" s="1" t="str">
        <x:v>Pulpería La Esperanza</x:v>
      </x:c>
      <x:c r="C12" s="1" t="str">
        <x:v>La Masica</x:v>
      </x:c>
      <x:c r="D12" s="1" t="str">
        <x:v>Barrio El Centro, contiguo a Comercial López</x:v>
      </x:c>
      <x:c r="E12" s="7" t="n">
        <x:v>15.60742232487711</x:v>
      </x:c>
      <x:c r="F12" s="7" t="n">
        <x:v>-86.68161189171478</x:v>
      </x:c>
    </x:row>
    <x:row r="13">
      <x:c r="A13" s="1" t="str">
        <x:v>C012</x:v>
      </x:c>
      <x:c r="B13" s="1" t="str">
        <x:v>Mini Súper Atlántida</x:v>
      </x:c>
      <x:c r="C13" s="1" t="str">
        <x:v>La Masica</x:v>
      </x:c>
      <x:c r="D13" s="1" t="str">
        <x:v>Barrio La Bolsa, frente al campo de fútbol</x:v>
      </x:c>
      <x:c r="E13" s="7" t="n">
        <x:v>15.61789367249307</x:v>
      </x:c>
      <x:c r="F13" s="7" t="n">
        <x:v>-86.73642461377005</x:v>
      </x:c>
    </x:row>
    <x:row r="14">
      <x:c r="A14" s="1" t="str">
        <x:v>C013</x:v>
      </x:c>
      <x:c r="B14" s="1" t="str">
        <x:v>Mercadito Doña Marta</x:v>
      </x:c>
      <x:c r="C14" s="1" t="str">
        <x:v>Tela</x:v>
      </x:c>
      <x:c r="D14" s="1" t="str">
        <x:v>Colonia Venecia, contiguo a Ferretería Tela</x:v>
      </x:c>
      <x:c r="E14" s="7" t="n">
        <x:v>15.75505922402737</x:v>
      </x:c>
      <x:c r="F14" s="7" t="n">
        <x:v>-87.47373987089004</x:v>
      </x:c>
    </x:row>
    <x:row r="15">
      <x:c r="A15" s="1" t="str">
        <x:v>C014</x:v>
      </x:c>
      <x:c r="B15" s="1" t="str">
        <x:v>Abarrotería San Miguel</x:v>
      </x:c>
      <x:c r="C15" s="1" t="str">
        <x:v>Jutiapa</x:v>
      </x:c>
      <x:c r="D15" s="1" t="str">
        <x:v>Barrio Abajo, frente a la alcaldía municipal</x:v>
      </x:c>
      <x:c r="E15" s="7" t="n">
        <x:v>15.65208288513706</x:v>
      </x:c>
      <x:c r="F15" s="7" t="n">
        <x:v>-86.23779503586708</x:v>
      </x:c>
    </x:row>
    <x:row r="16">
      <x:c r="A16" s="1" t="str">
        <x:v>C015</x:v>
      </x:c>
      <x:c r="B16" s="1" t="str">
        <x:v>Comercial El Progreso</x:v>
      </x:c>
      <x:c r="C16" s="1" t="str">
        <x:v>La Masica</x:v>
      </x:c>
      <x:c r="D16" s="1" t="str">
        <x:v>Colonia Primavera, detrás del centro de salud</x:v>
      </x:c>
      <x:c r="E16" s="7" t="n">
        <x:v>15.6223364219448</x:v>
      </x:c>
      <x:c r="F16" s="7" t="n">
        <x:v>-86.68490080801452</x:v>
      </x:c>
    </x:row>
    <x:row r="17">
      <x:c r="A17" s="1" t="str">
        <x:v>C016</x:v>
      </x:c>
      <x:c r="B17" s="1" t="str">
        <x:v>Pulpería Los Amigos</x:v>
      </x:c>
      <x:c r="C17" s="1" t="str">
        <x:v>Tela</x:v>
      </x:c>
      <x:c r="D17" s="1" t="str">
        <x:v>Colonia Venecia, contiguo a Ferretería Tela</x:v>
      </x:c>
      <x:c r="E17" s="7" t="n">
        <x:v>15.80840219476011</x:v>
      </x:c>
      <x:c r="F17" s="7" t="n">
        <x:v>-87.46994154210219</x:v>
      </x:c>
    </x:row>
    <x:row r="18">
      <x:c r="A18" s="1" t="str">
        <x:v>C017</x:v>
      </x:c>
      <x:c r="B18" s="1" t="str">
        <x:v>Mini Súper El Parque</x:v>
      </x:c>
      <x:c r="C18" s="1" t="str">
        <x:v>Arizona</x:v>
      </x:c>
      <x:c r="D18" s="1" t="str">
        <x:v>Barrio El Centro, frente al parque</x:v>
      </x:c>
      <x:c r="E18" s="7" t="n">
        <x:v>15.61459126274449</x:v>
      </x:c>
      <x:c r="F18" s="7" t="n">
        <x:v>-87.34904198469981</x:v>
      </x:c>
    </x:row>
    <x:row r="19">
      <x:c r="A19" s="1" t="str">
        <x:v>C018</x:v>
      </x:c>
      <x:c r="B19" s="1" t="str">
        <x:v>Comercial Caribe</x:v>
      </x:c>
      <x:c r="C19" s="1" t="str">
        <x:v>Esparta</x:v>
      </x:c>
      <x:c r="D19" s="1" t="str">
        <x:v>Barrio Suyapa, contiguo a agroservicio</x:v>
      </x:c>
      <x:c r="E19" s="7" t="n">
        <x:v>15.66265844998048</x:v>
      </x:c>
      <x:c r="F19" s="7" t="n">
        <x:v>-87.2525029728019</x:v>
      </x:c>
    </x:row>
    <x:row r="20">
      <x:c r="A20" s="1" t="str">
        <x:v>C019</x:v>
      </x:c>
      <x:c r="B20" s="1" t="str">
        <x:v>Pulpería El Centroamericano</x:v>
      </x:c>
      <x:c r="C20" s="1" t="str">
        <x:v>La Ceiba</x:v>
      </x:c>
      <x:c r="D20" s="1" t="str">
        <x:v>Avenida San Isidro, frente a Farmacia Kielsa</x:v>
      </x:c>
      <x:c r="E20" s="7" t="n">
        <x:v>15.7980269607938</x:v>
      </x:c>
      <x:c r="F20" s="7" t="n">
        <x:v>-86.77402528336896</x:v>
      </x:c>
    </x:row>
    <x:row r="21">
      <x:c r="A21" s="1" t="str">
        <x:v>C020</x:v>
      </x:c>
      <x:c r="B21" s="1" t="str">
        <x:v>Mercadito La Familia</x:v>
      </x:c>
      <x:c r="C21" s="1" t="str">
        <x:v>La Ceiba</x:v>
      </x:c>
      <x:c r="D21" s="1" t="str">
        <x:v>Barrio Ingles, contiguo a Calzados Noelia</x:v>
      </x:c>
      <x:c r="E21" s="7" t="n">
        <x:v>15.78142376519329</x:v>
      </x:c>
      <x:c r="F21" s="7" t="n">
        <x:v>-86.81607163140897</x:v>
      </x:c>
    </x:row>
    <x:row r="22">
      <x:c r="A22" s="1" t="str">
        <x:v>C021</x:v>
      </x:c>
      <x:c r="B22" s="1" t="str">
        <x:v>Pulpería Oseguera</x:v>
      </x:c>
      <x:c r="C22" s="1" t="str">
        <x:v>La Ceiba</x:v>
      </x:c>
      <x:c r="D22" s="1" t="str">
        <x:v>Colonia El Sauce, atrás del Instituto de la Propiedad</x:v>
      </x:c>
      <x:c r="E22" s="7" t="n">
        <x:v>15.75124143723613</x:v>
      </x:c>
      <x:c r="F22" s="7" t="n">
        <x:v>-86.77891677748633</x:v>
      </x:c>
    </x:row>
    <x:row r="23">
      <x:c r="A23" s="1" t="str">
        <x:v>C022</x:v>
      </x:c>
      <x:c r="B23" s="1" t="str">
        <x:v>Mini Súper La Bendición</x:v>
      </x:c>
      <x:c r="C23" s="1" t="str">
        <x:v>La Masica</x:v>
      </x:c>
      <x:c r="D23" s="1" t="str">
        <x:v>Barrio La Bolsa, frente al campo de fútbol</x:v>
      </x:c>
      <x:c r="E23" s="7" t="n">
        <x:v>15.64119141911907</x:v>
      </x:c>
      <x:c r="F23" s="7" t="n">
        <x:v>-86.68050338819044</x:v>
      </x:c>
    </x:row>
    <x:row r="24">
      <x:c r="A24" s="1" t="str">
        <x:v>C023</x:v>
      </x:c>
      <x:c r="B24" s="1" t="str">
        <x:v>Supermercado Rafael</x:v>
      </x:c>
      <x:c r="C24" s="1" t="str">
        <x:v>La Masica</x:v>
      </x:c>
      <x:c r="D24" s="1" t="str">
        <x:v>Barrio La Bolsa, frente al campo de fútbol</x:v>
      </x:c>
      <x:c r="E24" s="7" t="n">
        <x:v>15.6461293985481</x:v>
      </x:c>
      <x:c r="F24" s="7" t="n">
        <x:v>-86.73872358205551</x:v>
      </x:c>
    </x:row>
    <x:row r="25">
      <x:c r="A25" s="1" t="str">
        <x:v>C024</x:v>
      </x:c>
      <x:c r="B25" s="1" t="str">
        <x:v>Comercial Rivera</x:v>
      </x:c>
      <x:c r="C25" s="1" t="str">
        <x:v>Tela</x:v>
      </x:c>
      <x:c r="D25" s="1" t="str">
        <x:v>Barrio Lempira, una cuadra al sur del parque central</x:v>
      </x:c>
      <x:c r="E25" s="7" t="n">
        <x:v>15.774439556803</x:v>
      </x:c>
      <x:c r="F25" s="7" t="n">
        <x:v>-87.47534140483269</x:v>
      </x:c>
    </x:row>
    <x:row r="26">
      <x:c r="A26" s="1" t="str">
        <x:v>C025</x:v>
      </x:c>
      <x:c r="B26" s="1" t="str">
        <x:v>Mini Market San José</x:v>
      </x:c>
      <x:c r="C26" s="1" t="str">
        <x:v>Tela</x:v>
      </x:c>
      <x:c r="D26" s="1" t="str">
        <x:v>Barrio El Centro, frente al mercado municipal</x:v>
      </x:c>
      <x:c r="E26" s="7" t="n">
        <x:v>15.7668037630801</x:v>
      </x:c>
      <x:c r="F26" s="7" t="n">
        <x:v>-87.42656483065103</x:v>
      </x:c>
    </x:row>
    <x:row r="27">
      <x:c r="A27" s="1" t="str">
        <x:v>C026</x:v>
      </x:c>
      <x:c r="B27" s="1" t="str">
        <x:v>Abarrotería El Centro</x:v>
      </x:c>
      <x:c r="C27" s="1" t="str">
        <x:v>El Porvenir</x:v>
      </x:c>
      <x:c r="D27" s="1" t="str">
        <x:v>Barrio La Playa, una cuadra al oeste del parque</x:v>
      </x:c>
      <x:c r="E27" s="7" t="n">
        <x:v>15.73229290571563</x:v>
      </x:c>
      <x:c r="F27" s="7" t="n">
        <x:v>-86.88455113795342</x:v>
      </x:c>
    </x:row>
    <x:row r="28">
      <x:c r="A28" s="1" t="str">
        <x:v>C027</x:v>
      </x:c>
      <x:c r="B28" s="1" t="str">
        <x:v>Distribuidora El Faro</x:v>
      </x:c>
      <x:c r="C28" s="1" t="str">
        <x:v>La Ceiba</x:v>
      </x:c>
      <x:c r="D28" s="1" t="str">
        <x:v>Colonia El Sauce, atrás del Instituto de la Propiedad</x:v>
      </x:c>
      <x:c r="E28" s="7" t="n">
        <x:v>15.76803685728729</x:v>
      </x:c>
      <x:c r="F28" s="7" t="n">
        <x:v>-86.77768801221002</x:v>
      </x:c>
    </x:row>
    <x:row r="29">
      <x:c r="A29" s="1" t="str">
        <x:v>C028</x:v>
      </x:c>
      <x:c r="B29" s="1" t="str">
        <x:v>Pulpería El Buen Vecino</x:v>
      </x:c>
      <x:c r="C29" s="1" t="str">
        <x:v>Esparta</x:v>
      </x:c>
      <x:c r="D29" s="1" t="str">
        <x:v>Colonia El Carmen, detrás del instituto</x:v>
      </x:c>
      <x:c r="E29" s="7" t="n">
        <x:v>15.64639811449093</x:v>
      </x:c>
      <x:c r="F29" s="7" t="n">
        <x:v>-87.26933914683686</x:v>
      </x:c>
    </x:row>
    <x:row r="30">
      <x:c r="A30" s="1" t="str">
        <x:v>C029</x:v>
      </x:c>
      <x:c r="B30" s="1" t="str">
        <x:v>Mini Súper El Triunfo</x:v>
      </x:c>
      <x:c r="C30" s="1" t="str">
        <x:v>Esparta</x:v>
      </x:c>
      <x:c r="D30" s="1" t="str">
        <x:v>Colonia El Carmen, detrás del instituto</x:v>
      </x:c>
      <x:c r="E30" s="7" t="n">
        <x:v>15.67954455979815</x:v>
      </x:c>
      <x:c r="F30" s="7" t="n">
        <x:v>-87.27057452130482</x:v>
      </x:c>
    </x:row>
    <x:row r="31">
      <x:c r="A31" s="1" t="str">
        <x:v>C030</x:v>
      </x:c>
      <x:c r="B31" s="1" t="str">
        <x:v>Comercial La Costa</x:v>
      </x:c>
      <x:c r="C31" s="1" t="str">
        <x:v>Jutiapa</x:v>
      </x:c>
      <x:c r="D31" s="1" t="str">
        <x:v>Colonia Nueva Esperanza, contiguo a pulpería local</x:v>
      </x:c>
      <x:c r="E31" s="7" t="n">
        <x:v>15.659792178279</x:v>
      </x:c>
      <x:c r="F31" s="7" t="n">
        <x:v>-86.2292721817938</x:v>
      </x:c>
    </x:row>
    <x:row r="32">
      <x:c r="A32" s="1" t="str">
        <x:v>C031</x:v>
      </x:c>
      <x:c r="B32" s="1" t="str">
        <x:v>Pulpería La Esperanza</x:v>
      </x:c>
      <x:c r="C32" s="1" t="str">
        <x:v>Esparta</x:v>
      </x:c>
      <x:c r="D32" s="1" t="str">
        <x:v>Barrio El Centro, frente a la iglesia</x:v>
      </x:c>
      <x:c r="E32" s="7" t="n">
        <x:v>15.6329608041621</x:v>
      </x:c>
      <x:c r="F32" s="7" t="n">
        <x:v>-87.2835937878433</x:v>
      </x:c>
    </x:row>
    <x:row r="33">
      <x:c r="A33" s="1" t="str">
        <x:v>C032</x:v>
      </x:c>
      <x:c r="B33" s="1" t="str">
        <x:v>Mini Súper Atlántida</x:v>
      </x:c>
      <x:c r="C33" s="1" t="str">
        <x:v>Esparta</x:v>
      </x:c>
      <x:c r="D33" s="1" t="str">
        <x:v>Colonia El Carmen, detrás del instituto</x:v>
      </x:c>
      <x:c r="E33" s="7" t="n">
        <x:v>15.6324518057495</x:v>
      </x:c>
      <x:c r="F33" s="7" t="n">
        <x:v>-87.2624583084211</x:v>
      </x:c>
    </x:row>
    <x:row r="34">
      <x:c r="A34" s="1" t="str">
        <x:v>C033</x:v>
      </x:c>
      <x:c r="B34" s="1" t="str">
        <x:v>Mercadito Doña Marta</x:v>
      </x:c>
      <x:c r="C34" s="1" t="str">
        <x:v>El Porvenir</x:v>
      </x:c>
      <x:c r="D34" s="1" t="str">
        <x:v>Barrio La Playa, una cuadra al oeste del parque</x:v>
      </x:c>
      <x:c r="E34" s="7" t="n">
        <x:v>15.75836021366635</x:v>
      </x:c>
      <x:c r="F34" s="7" t="n">
        <x:v>-86.89260303911311</x:v>
      </x:c>
    </x:row>
    <x:row r="35">
      <x:c r="A35" s="1" t="str">
        <x:v>C034</x:v>
      </x:c>
      <x:c r="B35" s="1" t="str">
        <x:v>Abarrotería San Miguel</x:v>
      </x:c>
      <x:c r="C35" s="1" t="str">
        <x:v>La Ceiba</x:v>
      </x:c>
      <x:c r="D35" s="1" t="str">
        <x:v>Avenida San Isidro, frente a Farmacia Kielsa</x:v>
      </x:c>
      <x:c r="E35" s="7" t="n">
        <x:v>15.76074276240476</x:v>
      </x:c>
      <x:c r="F35" s="7" t="n">
        <x:v>-86.80879959928019</x:v>
      </x:c>
    </x:row>
    <x:row r="36">
      <x:c r="A36" s="1" t="str">
        <x:v>C035</x:v>
      </x:c>
      <x:c r="B36" s="1" t="str">
        <x:v>Comercial El Progreso</x:v>
      </x:c>
      <x:c r="C36" s="1" t="str">
        <x:v>La Masica</x:v>
      </x:c>
      <x:c r="D36" s="1" t="str">
        <x:v>Barrio El Centro, contiguo a Comercial López</x:v>
      </x:c>
      <x:c r="E36" s="7" t="n">
        <x:v>15.62206912424701</x:v>
      </x:c>
      <x:c r="F36" s="7" t="n">
        <x:v>-86.6956589389744</x:v>
      </x:c>
    </x:row>
    <x:row r="37">
      <x:c r="A37" s="1" t="str">
        <x:v>C036</x:v>
      </x:c>
      <x:c r="B37" s="1" t="str">
        <x:v>Pulpería Los Amigos</x:v>
      </x:c>
      <x:c r="C37" s="1" t="str">
        <x:v>El Porvenir</x:v>
      </x:c>
      <x:c r="D37" s="1" t="str">
        <x:v>Barrio La Playa, una cuadra al oeste del parque</x:v>
      </x:c>
      <x:c r="E37" s="7" t="n">
        <x:v>15.73514406884404</x:v>
      </x:c>
      <x:c r="F37" s="7" t="n">
        <x:v>-86.860694251453</x:v>
      </x:c>
    </x:row>
    <x:row r="38">
      <x:c r="A38" s="1" t="str">
        <x:v>C037</x:v>
      </x:c>
      <x:c r="B38" s="1" t="str">
        <x:v>Mini Súper El Parque</x:v>
      </x:c>
      <x:c r="C38" s="1" t="str">
        <x:v>Esparta</x:v>
      </x:c>
      <x:c r="D38" s="1" t="str">
        <x:v>Colonia El Carmen, detrás del instituto</x:v>
      </x:c>
      <x:c r="E38" s="7" t="n">
        <x:v>15.66792586172747</x:v>
      </x:c>
      <x:c r="F38" s="7" t="n">
        <x:v>-87.2688142905545</x:v>
      </x:c>
    </x:row>
    <x:row r="39">
      <x:c r="A39" s="1" t="str">
        <x:v>C038</x:v>
      </x:c>
      <x:c r="B39" s="1" t="str">
        <x:v>Comercial Caribe</x:v>
      </x:c>
      <x:c r="C39" s="1" t="str">
        <x:v>San Francisco</x:v>
      </x:c>
      <x:c r="D39" s="1" t="str">
        <x:v>Colonia Suyapa, esquina opuesta a farmacia</x:v>
      </x:c>
      <x:c r="E39" s="7" t="n">
        <x:v>15.65607843594747</x:v>
      </x:c>
      <x:c r="F39" s="7" t="n">
        <x:v>-87.00416064224137</x:v>
      </x:c>
    </x:row>
    <x:row r="40">
      <x:c r="A40" s="1" t="str">
        <x:v>C039</x:v>
      </x:c>
      <x:c r="B40" s="1" t="str">
        <x:v>Pulpería El Centroamericano</x:v>
      </x:c>
      <x:c r="C40" s="1" t="str">
        <x:v>Arizona</x:v>
      </x:c>
      <x:c r="D40" s="1" t="str">
        <x:v>Barrio El Centro, frente al parque</x:v>
      </x:c>
      <x:c r="E40" s="7" t="n">
        <x:v>15.60052974847786</x:v>
      </x:c>
      <x:c r="F40" s="7" t="n">
        <x:v>-87.3798685955568</x:v>
      </x:c>
    </x:row>
    <x:row r="41">
      <x:c r="A41" s="1" t="str">
        <x:v>C040</x:v>
      </x:c>
      <x:c r="B41" s="1" t="str">
        <x:v>Mercadito La Familia</x:v>
      </x:c>
      <x:c r="C41" s="1" t="str">
        <x:v>Arizona</x:v>
      </x:c>
      <x:c r="D41" s="1" t="str">
        <x:v>Barrio La Esperanza, contiguo a tienda local</x:v>
      </x:c>
      <x:c r="E41" s="7" t="n">
        <x:v>15.60480443071797</x:v>
      </x:c>
      <x:c r="F41" s="7" t="n">
        <x:v>-87.339316667913</x:v>
      </x:c>
    </x:row>
    <x:row r="42">
      <x:c r="A42" s="1" t="str">
        <x:v>C041</x:v>
      </x:c>
      <x:c r="B42" s="1" t="str">
        <x:v>Pulpería Oseguera</x:v>
      </x:c>
      <x:c r="C42" s="1" t="str">
        <x:v>La Ceiba</x:v>
      </x:c>
      <x:c r="D42" s="1" t="str">
        <x:v>Avenida San Isidro, frente a Farmacia Kielsa</x:v>
      </x:c>
      <x:c r="E42" s="7" t="n">
        <x:v>15.77279131084483</x:v>
      </x:c>
      <x:c r="F42" s="7" t="n">
        <x:v>-86.81479599652472</x:v>
      </x:c>
    </x:row>
    <x:row r="43">
      <x:c r="A43" s="1" t="str">
        <x:v>C042</x:v>
      </x:c>
      <x:c r="B43" s="1" t="str">
        <x:v>Mini Súper La Bendición</x:v>
      </x:c>
      <x:c r="C43" s="1" t="str">
        <x:v>San Francisco</x:v>
      </x:c>
      <x:c r="D43" s="1" t="str">
        <x:v>Colonia Suyapa, esquina opuesta a farmacia</x:v>
      </x:c>
      <x:c r="E43" s="7" t="n">
        <x:v>15.64942224496931</x:v>
      </x:c>
      <x:c r="F43" s="7" t="n">
        <x:v>-86.98247971654797</x:v>
      </x:c>
    </x:row>
    <x:row r="44">
      <x:c r="A44" s="1" t="str">
        <x:v>C043</x:v>
      </x:c>
      <x:c r="B44" s="1" t="str">
        <x:v>Supermercado Rafael</x:v>
      </x:c>
      <x:c r="C44" s="1" t="str">
        <x:v>La Ceiba</x:v>
      </x:c>
      <x:c r="D44" s="1" t="str">
        <x:v>Barrio Ingles, contiguo a Calzados Noelia</x:v>
      </x:c>
      <x:c r="E44" s="7" t="n">
        <x:v>15.74117500406553</x:v>
      </x:c>
      <x:c r="F44" s="7" t="n">
        <x:v>-86.76923431354687</x:v>
      </x:c>
    </x:row>
    <x:row r="45">
      <x:c r="A45" s="1" t="str">
        <x:v>C044</x:v>
      </x:c>
      <x:c r="B45" s="1" t="str">
        <x:v>Comercial Rivera</x:v>
      </x:c>
      <x:c r="C45" s="1" t="str">
        <x:v>La Masica</x:v>
      </x:c>
      <x:c r="D45" s="1" t="str">
        <x:v>Barrio El Centro, contiguo a Comercial López</x:v>
      </x:c>
      <x:c r="E45" s="7" t="n">
        <x:v>15.6264976829468</x:v>
      </x:c>
      <x:c r="F45" s="7" t="n">
        <x:v>-86.69902048426763</x:v>
      </x:c>
    </x:row>
    <x:row r="46">
      <x:c r="A46" s="1" t="str">
        <x:v>C045</x:v>
      </x:c>
      <x:c r="B46" s="1" t="str">
        <x:v>Mini Market San José</x:v>
      </x:c>
      <x:c r="C46" s="1" t="str">
        <x:v>Esparta</x:v>
      </x:c>
      <x:c r="D46" s="1" t="str">
        <x:v>Barrio Suyapa, contiguo a agroservicio</x:v>
      </x:c>
      <x:c r="E46" s="7" t="n">
        <x:v>15.63866963202749</x:v>
      </x:c>
      <x:c r="F46" s="7" t="n">
        <x:v>-87.28674513285189</x:v>
      </x:c>
    </x:row>
    <x:row r="47">
      <x:c r="A47" s="1" t="str">
        <x:v>C046</x:v>
      </x:c>
      <x:c r="B47" s="1" t="str">
        <x:v>Abarrotería El Centro</x:v>
      </x:c>
      <x:c r="C47" s="1" t="str">
        <x:v>Tela</x:v>
      </x:c>
      <x:c r="D47" s="1" t="str">
        <x:v>Barrio Lempira, una cuadra al sur del parque central</x:v>
      </x:c>
      <x:c r="E47" s="7" t="n">
        <x:v>15.75345936034755</x:v>
      </x:c>
      <x:c r="F47" s="7" t="n">
        <x:v>-87.43026035645514</x:v>
      </x:c>
    </x:row>
    <x:row r="48">
      <x:c r="A48" s="1" t="str">
        <x:v>C047</x:v>
      </x:c>
      <x:c r="B48" s="1" t="str">
        <x:v>Distribuidora El Faro</x:v>
      </x:c>
      <x:c r="C48" s="1" t="str">
        <x:v>La Masica</x:v>
      </x:c>
      <x:c r="D48" s="1" t="str">
        <x:v>Barrio El Centro, contiguo a Comercial López</x:v>
      </x:c>
      <x:c r="E48" s="7" t="n">
        <x:v>15.62139902522154</x:v>
      </x:c>
      <x:c r="F48" s="7" t="n">
        <x:v>-86.69038794424819</x:v>
      </x:c>
    </x:row>
    <x:row r="49">
      <x:c r="A49" s="1" t="str">
        <x:v>C048</x:v>
      </x:c>
      <x:c r="B49" s="1" t="str">
        <x:v>Pulpería El Buen Vecino</x:v>
      </x:c>
      <x:c r="C49" s="1" t="str">
        <x:v>La Masica</x:v>
      </x:c>
      <x:c r="D49" s="1" t="str">
        <x:v>Barrio El Centro, contiguo a Comercial López</x:v>
      </x:c>
      <x:c r="E49" s="7" t="n">
        <x:v>15.62472152688023</x:v>
      </x:c>
      <x:c r="F49" s="7" t="n">
        <x:v>-86.69651578294237</x:v>
      </x:c>
    </x:row>
    <x:row r="50">
      <x:c r="A50" s="1" t="str">
        <x:v>C049</x:v>
      </x:c>
      <x:c r="B50" s="1" t="str">
        <x:v>Mini Súper El Triunfo</x:v>
      </x:c>
      <x:c r="C50" s="1" t="str">
        <x:v>Tela</x:v>
      </x:c>
      <x:c r="D50" s="1" t="str">
        <x:v>Barrio Lempira, una cuadra al sur del parque central</x:v>
      </x:c>
      <x:c r="E50" s="7" t="n">
        <x:v>15.79873753732853</x:v>
      </x:c>
      <x:c r="F50" s="7" t="n">
        <x:v>-87.43821825866483</x:v>
      </x:c>
    </x:row>
    <x:row r="51">
      <x:c r="A51" s="1" t="str">
        <x:v>C050</x:v>
      </x:c>
      <x:c r="B51" s="1" t="str">
        <x:v>Comercial La Costa</x:v>
      </x:c>
      <x:c r="C51" s="1" t="str">
        <x:v>La Masica</x:v>
      </x:c>
      <x:c r="D51" s="1" t="str">
        <x:v>Colonia Primavera, detrás del centro de salud</x:v>
      </x:c>
      <x:c r="E51" s="7" t="n">
        <x:v>15.64284820490915</x:v>
      </x:c>
      <x:c r="F51" s="7" t="n">
        <x:v>-86.70339478481962</x:v>
      </x:c>
    </x:row>
    <x:row r="52">
      <x:c r="A52" s="1" t="str">
        <x:v>C051</x:v>
      </x:c>
      <x:c r="B52" s="1" t="str">
        <x:v>Pulpería La Esperanza</x:v>
      </x:c>
      <x:c r="C52" s="1" t="str">
        <x:v>Jutiapa</x:v>
      </x:c>
      <x:c r="D52" s="1" t="str">
        <x:v>Barrio Abajo, frente a la alcaldía municipal</x:v>
      </x:c>
      <x:c r="E52" s="7" t="n">
        <x:v>15.64757132645944</x:v>
      </x:c>
      <x:c r="F52" s="7" t="n">
        <x:v>-86.23647664495304</x:v>
      </x:c>
    </x:row>
    <x:row r="53">
      <x:c r="A53" s="1" t="str">
        <x:v>C052</x:v>
      </x:c>
      <x:c r="B53" s="1" t="str">
        <x:v>Mini Súper Atlántida</x:v>
      </x:c>
      <x:c r="C53" s="1" t="str">
        <x:v>Esparta</x:v>
      </x:c>
      <x:c r="D53" s="1" t="str">
        <x:v>Barrio Suyapa, contiguo a agroservicio</x:v>
      </x:c>
      <x:c r="E53" s="7" t="n">
        <x:v>15.67699341269267</x:v>
      </x:c>
      <x:c r="F53" s="7" t="n">
        <x:v>-87.263502500332</x:v>
      </x:c>
    </x:row>
    <x:row r="54">
      <x:c r="A54" s="1" t="str">
        <x:v>C053</x:v>
      </x:c>
      <x:c r="B54" s="1" t="str">
        <x:v>Mercadito Doña Marta</x:v>
      </x:c>
      <x:c r="C54" s="1" t="str">
        <x:v>La Ceiba</x:v>
      </x:c>
      <x:c r="D54" s="1" t="str">
        <x:v>Barrio Ingles, contiguo a Calzados Noelia</x:v>
      </x:c>
      <x:c r="E54" s="7" t="n">
        <x:v>15.74017612525048</x:v>
      </x:c>
      <x:c r="F54" s="7" t="n">
        <x:v>-86.8181117726974</x:v>
      </x:c>
    </x:row>
    <x:row r="55">
      <x:c r="A55" s="1" t="str">
        <x:v>C054</x:v>
      </x:c>
      <x:c r="B55" s="1" t="str">
        <x:v>Abarrotería San Miguel</x:v>
      </x:c>
      <x:c r="C55" s="1" t="str">
        <x:v>San Francisco</x:v>
      </x:c>
      <x:c r="D55" s="1" t="str">
        <x:v>Barrio El Centro, frente a la escuela primaria</x:v>
      </x:c>
      <x:c r="E55" s="7" t="n">
        <x:v>15.63625968512296</x:v>
      </x:c>
      <x:c r="F55" s="7" t="n">
        <x:v>-87.01103338715818</x:v>
      </x:c>
    </x:row>
    <x:row r="56">
      <x:c r="A56" s="1" t="str">
        <x:v>C055</x:v>
      </x:c>
      <x:c r="B56" s="1" t="str">
        <x:v>Comercial El Progreso</x:v>
      </x:c>
      <x:c r="C56" s="1" t="str">
        <x:v>Esparta</x:v>
      </x:c>
      <x:c r="D56" s="1" t="str">
        <x:v>Barrio Suyapa, contiguo a agroservicio</x:v>
      </x:c>
      <x:c r="E56" s="7" t="n">
        <x:v>15.64577975766732</x:v>
      </x:c>
      <x:c r="F56" s="7" t="n">
        <x:v>-87.27356817326502</x:v>
      </x:c>
    </x:row>
    <x:row r="57">
      <x:c r="A57" s="1" t="str">
        <x:v>C056</x:v>
      </x:c>
      <x:c r="B57" s="1" t="str">
        <x:v>Pulpería Los Amigos</x:v>
      </x:c>
      <x:c r="C57" s="1" t="str">
        <x:v>Arizona</x:v>
      </x:c>
      <x:c r="D57" s="1" t="str">
        <x:v>Barrio El Centro, frente al parque</x:v>
      </x:c>
      <x:c r="E57" s="7" t="n">
        <x:v>15.60141629778186</x:v>
      </x:c>
      <x:c r="F57" s="7" t="n">
        <x:v>-87.32913205719288</x:v>
      </x:c>
    </x:row>
    <x:row r="58">
      <x:c r="A58" s="1" t="str">
        <x:v>C057</x:v>
      </x:c>
      <x:c r="B58" s="1" t="str">
        <x:v>Mini Súper El Parque</x:v>
      </x:c>
      <x:c r="C58" s="1" t="str">
        <x:v>La Masica</x:v>
      </x:c>
      <x:c r="D58" s="1" t="str">
        <x:v>Colonia Primavera, detrás del centro de salud</x:v>
      </x:c>
      <x:c r="E58" s="7" t="n">
        <x:v>15.6202804391031</x:v>
      </x:c>
      <x:c r="F58" s="7" t="n">
        <x:v>-86.73776915488939</x:v>
      </x:c>
    </x:row>
    <x:row r="59">
      <x:c r="A59" s="1" t="str">
        <x:v>C058</x:v>
      </x:c>
      <x:c r="B59" s="1" t="str">
        <x:v>Comercial Caribe</x:v>
      </x:c>
      <x:c r="C59" s="1" t="str">
        <x:v>La Ceiba</x:v>
      </x:c>
      <x:c r="D59" s="1" t="str">
        <x:v>Barrio Ingles, contiguo a Calzados Noelia</x:v>
      </x:c>
      <x:c r="E59" s="7" t="n">
        <x:v>15.78884920671411</x:v>
      </x:c>
      <x:c r="F59" s="7" t="n">
        <x:v>-86.81633991045354</x:v>
      </x:c>
    </x:row>
    <x:row r="60">
      <x:c r="A60" s="1" t="str">
        <x:v>C059</x:v>
      </x:c>
      <x:c r="B60" s="1" t="str">
        <x:v>Pulpería El Centroamericano</x:v>
      </x:c>
      <x:c r="C60" s="1" t="str">
        <x:v>Tela</x:v>
      </x:c>
      <x:c r="D60" s="1" t="str">
        <x:v>Barrio Lempira, una cuadra al sur del parque central</x:v>
      </x:c>
      <x:c r="E60" s="7" t="n">
        <x:v>15.78985251396864</x:v>
      </x:c>
      <x:c r="F60" s="7" t="n">
        <x:v>-87.46255549737951</x:v>
      </x:c>
    </x:row>
    <x:row r="61">
      <x:c r="A61" s="1" t="str">
        <x:v>C060</x:v>
      </x:c>
      <x:c r="B61" s="1" t="str">
        <x:v>Mercadito La Familia</x:v>
      </x:c>
      <x:c r="C61" s="1" t="str">
        <x:v>Arizona</x:v>
      </x:c>
      <x:c r="D61" s="1" t="str">
        <x:v>Barrio El Centro, frente al parque</x:v>
      </x:c>
      <x:c r="E61" s="7" t="n">
        <x:v>15.61974440819844</x:v>
      </x:c>
      <x:c r="F61" s="7" t="n">
        <x:v>-87.36335246769889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13.329999923706055" hidden="0" customWidth="1"/>
    <x:col min="4" max="4" width="20" hidden="0" customWidth="1"/>
    <x:col min="5" max="5" width="24.440000534057617" hidden="0" customWidth="1"/>
    <x:col min="6" max="6" width="16.670000076293945" hidden="0" customWidth="1"/>
    <x:col min="7" max="7" width="26.670000076293945" hidden="0" customWidth="1"/>
    <x:col min="8" max="8" width="16.670000076293945" hidden="0" customWidth="1"/>
    <x:col min="9" max="9" width="17.219999313354492" hidden="0" customWidth="1"/>
    <x:col min="10" max="10" width="18.329999923706055" hidden="0" customWidth="1"/>
    <x:col min="11" max="11" width="20" hidden="0" customWidth="1"/>
    <x:col min="12" max="12" width="17.219999313354492" hidden="0" customWidth="1"/>
    <x:col min="13" max="13" width="21.110000610351562" hidden="0" customWidth="1"/>
  </x:cols>
  <x:sheetData>
    <x:row r="1" ht="30" customHeight="1">
      <x:c r="A1" s="3" t="str">
        <x:v>id_vehiculo</x:v>
      </x:c>
      <x:c r="B1" s="3" t="str">
        <x:v>tipo_vehiculo</x:v>
      </x:c>
      <x:c r="C1" s="3" t="str">
        <x:v>placa</x:v>
      </x:c>
      <x:c r="D1" s="3" t="str">
        <x:v>capacidad_pedidos</x:v>
      </x:c>
      <x:c r="E1" s="3" t="str">
        <x:v>rendimiento_km_litro</x:v>
      </x:c>
      <x:c r="F1" s="3" t="str">
        <x:v>costo_litro</x:v>
      </x:c>
      <x:c r="G1" s="3" t="str">
        <x:v>velocidad_promedio_kmh</x:v>
      </x:c>
      <x:c r="H1" s="3" t="str">
        <x:v>combustible</x:v>
      </x:c>
      <x:c r="I1" s="3" t="str">
        <x:v>km_base</x:v>
      </x:c>
      <x:c r="J1" s="3" t="str">
        <x:v>costo_base_L</x:v>
      </x:c>
      <x:c r="K1" s="3" t="str">
        <x:v>en_escenario_4_zonas</x:v>
      </x:c>
      <x:c r="L1" s="3" t="str">
        <x:v>km_propuestos</x:v>
      </x:c>
      <x:c r="M1" s="3" t="str">
        <x:v>costo_propuesto_L</x:v>
      </x:c>
    </x:row>
    <x:row r="2">
      <x:c r="A2" s="1" t="str">
        <x:v>V001</x:v>
      </x:c>
      <x:c r="B2" s="1" t="str">
        <x:v>Pickup con carrocería</x:v>
      </x:c>
      <x:c r="C2" s="1" t="str">
        <x:v>PAA-1021</x:v>
      </x:c>
      <x:c r="D2" s="1" t="n">
        <x:v>12</x:v>
      </x:c>
      <x:c r="E2" s="1" t="n">
        <x:v>11</x:v>
      </x:c>
      <x:c r="F2" s="1" t="n">
        <x:f>Parametros_Operacion!$H$5</x:f>
        <x:v>38.1253</x:v>
      </x:c>
      <x:c r="G2" s="1" t="n">
        <x:v>50</x:v>
      </x:c>
      <x:c r="H2" s="1" t="str">
        <x:v>Diésel</x:v>
      </x:c>
      <x:c r="I2" s="1" t="n">
        <x:f>SUMIF(Rutas_Base!$E$2:$E$152,A2,Rutas_Base!$H$2:$H$152)</x:f>
        <x:v>231.29999999999998</x:v>
      </x:c>
      <x:c r="J2" s="1" t="n">
        <x:f>SUMIF(Rutas_Base!$E$2:$E$152,A2,Rutas_Base!$L$2:$L$152)</x:f>
        <x:v>801.64</x:v>
      </x:c>
      <x:c r="K2" s="1" t="str">
        <x:v>Sí</x:v>
      </x:c>
      <x:c r="L2" s="1" t="n">
        <x:f>SUMIF(Rutas_Diarias!$G$2:$G$110,A2,Rutas_Diarias!$P$2:$P$110)</x:f>
        <x:v>1202.69</x:v>
      </x:c>
      <x:c r="M2" s="1" t="n">
        <x:f>SUMIF(Rutas_Diarias!$G$2:$G$110,A2,Rutas_Diarias!$S$2:$S$110)</x:f>
        <x:v>4168.43</x:v>
      </x:c>
    </x:row>
    <x:row r="3">
      <x:c r="A3" s="1" t="str">
        <x:v>V002</x:v>
      </x:c>
      <x:c r="B3" s="1" t="str">
        <x:v>Pickup con carrocería</x:v>
      </x:c>
      <x:c r="C3" s="1" t="str">
        <x:v>PBB-2045</x:v>
      </x:c>
      <x:c r="D3" s="1" t="n">
        <x:v>12</x:v>
      </x:c>
      <x:c r="E3" s="1" t="n">
        <x:v>10.5</x:v>
      </x:c>
      <x:c r="F3" s="1" t="n">
        <x:f>Parametros_Operacion!$H$5</x:f>
        <x:v>38.1253</x:v>
      </x:c>
      <x:c r="G3" s="1" t="n">
        <x:v>48</x:v>
      </x:c>
      <x:c r="H3" s="1" t="str">
        <x:v>Diésel</x:v>
      </x:c>
      <x:c r="I3" s="1" t="n">
        <x:f>SUMIF(Rutas_Base!$E$2:$E$152,A3,Rutas_Base!$H$2:$H$152)</x:f>
        <x:v>4055.600000000001</x:v>
      </x:c>
      <x:c r="J3" s="1" t="n">
        <x:f>SUMIF(Rutas_Base!$E$2:$E$152,A3,Rutas_Base!$L$2:$L$152)</x:f>
        <x:v>14725.820000000002</x:v>
      </x:c>
      <x:c r="K3" s="1" t="str">
        <x:v>Sí</x:v>
      </x:c>
      <x:c r="L3" s="1" t="n">
        <x:f>SUMIF(Rutas_Diarias!$G$2:$G$110,A3,Rutas_Diarias!$P$2:$P$110)</x:f>
        <x:v>5526.469999999999</x:v>
      </x:c>
      <x:c r="M3" s="1" t="n">
        <x:f>SUMIF(Rutas_Diarias!$G$2:$G$110,A3,Rutas_Diarias!$S$2:$S$110)</x:f>
        <x:v>20066.550000000003</x:v>
      </x:c>
    </x:row>
    <x:row r="4">
      <x:c r="A4" s="1" t="str">
        <x:v>V003</x:v>
      </x:c>
      <x:c r="B4" s="1" t="str">
        <x:v>Pickup con carrocería</x:v>
      </x:c>
      <x:c r="C4" s="1" t="str">
        <x:v>HAA-8841</x:v>
      </x:c>
      <x:c r="D4" s="1" t="n">
        <x:v>12</x:v>
      </x:c>
      <x:c r="E4" s="1" t="n">
        <x:v>10</x:v>
      </x:c>
      <x:c r="F4" s="1" t="n">
        <x:f>Parametros_Operacion!$H$5</x:f>
        <x:v>38.1253</x:v>
      </x:c>
      <x:c r="G4" s="1" t="n">
        <x:v>47</x:v>
      </x:c>
      <x:c r="H4" s="1" t="str">
        <x:v>Diésel</x:v>
      </x:c>
      <x:c r="I4" s="1" t="n">
        <x:f>SUMIF(Rutas_Base!$E$2:$E$152,A4,Rutas_Base!$H$2:$H$152)</x:f>
        <x:v>973.8899999999999</x:v>
      </x:c>
      <x:c r="J4" s="1" t="n">
        <x:f>SUMIF(Rutas_Base!$E$2:$E$152,A4,Rutas_Base!$L$2:$L$152)</x:f>
        <x:v>3712.9700000000007</x:v>
      </x:c>
      <x:c r="K4" s="1" t="str">
        <x:v>No</x:v>
      </x:c>
      <x:c r="L4" s="1" t="n">
        <x:f>SUMIF(Rutas_Diarias!$G$2:$G$110,A4,Rutas_Diarias!$P$2:$P$110)</x:f>
        <x:v>0</x:v>
      </x:c>
      <x:c r="M4" s="1" t="n">
        <x:f>SUMIF(Rutas_Diarias!$G$2:$G$110,A4,Rutas_Diarias!$S$2:$S$110)</x:f>
        <x:v>0</x:v>
      </x:c>
    </x:row>
    <x:row r="5">
      <x:c r="A5" s="1" t="str">
        <x:v>V004</x:v>
      </x:c>
      <x:c r="B5" s="1" t="str">
        <x:v>Pickup con carrocería</x:v>
      </x:c>
      <x:c r="C5" s="1" t="str">
        <x:v>PCC-7200</x:v>
      </x:c>
      <x:c r="D5" s="1" t="n">
        <x:v>12</x:v>
      </x:c>
      <x:c r="E5" s="1" t="n">
        <x:v>10.5</x:v>
      </x:c>
      <x:c r="F5" s="1" t="n">
        <x:f>Parametros_Operacion!$H$5</x:f>
        <x:v>38.1253</x:v>
      </x:c>
      <x:c r="G5" s="1" t="n">
        <x:v>49</x:v>
      </x:c>
      <x:c r="H5" s="1" t="str">
        <x:v>Diésel</x:v>
      </x:c>
      <x:c r="I5" s="1" t="n">
        <x:f>SUMIF(Rutas_Base!$E$2:$E$152,A5,Rutas_Base!$H$2:$H$152)</x:f>
        <x:v>2694.21</x:v>
      </x:c>
      <x:c r="J5" s="1" t="n">
        <x:f>SUMIF(Rutas_Base!$E$2:$E$152,A5,Rutas_Base!$L$2:$L$152)</x:f>
        <x:v>9782.659999999998</x:v>
      </x:c>
      <x:c r="K5" s="1" t="str">
        <x:v>Sí</x:v>
      </x:c>
      <x:c r="L5" s="1" t="n">
        <x:f>SUMIF(Rutas_Diarias!$G$2:$G$110,A5,Rutas_Diarias!$P$2:$P$110)</x:f>
        <x:v>1299.17</x:v>
      </x:c>
      <x:c r="M5" s="1" t="n">
        <x:f>SUMIF(Rutas_Diarias!$G$2:$G$110,A5,Rutas_Diarias!$S$2:$S$110)</x:f>
        <x:v>4717.26</x:v>
      </x:c>
    </x:row>
    <x:row r="6">
      <x:c r="A6" s="1" t="str">
        <x:v>V005</x:v>
      </x:c>
      <x:c r="B6" s="1" t="str">
        <x:v>Camión pequeño</x:v>
      </x:c>
      <x:c r="C6" s="1" t="str">
        <x:v>TGU-3491</x:v>
      </x:c>
      <x:c r="D6" s="1" t="n">
        <x:v>20</x:v>
      </x:c>
      <x:c r="E6" s="1" t="n">
        <x:v>8</x:v>
      </x:c>
      <x:c r="F6" s="1" t="n">
        <x:f>Parametros_Operacion!$H$5</x:f>
        <x:v>38.1253</x:v>
      </x:c>
      <x:c r="G6" s="1" t="n">
        <x:v>43</x:v>
      </x:c>
      <x:c r="H6" s="1" t="str">
        <x:v>Diésel</x:v>
      </x:c>
      <x:c r="I6" s="1" t="n">
        <x:f>SUMIF(Rutas_Base!$E$2:$E$152,A6,Rutas_Base!$H$2:$H$152)</x:f>
        <x:v>1123.1399999999999</x:v>
      </x:c>
      <x:c r="J6" s="1" t="n">
        <x:f>SUMIF(Rutas_Base!$E$2:$E$152,A6,Rutas_Base!$L$2:$L$152)</x:f>
        <x:v>5352.52</x:v>
      </x:c>
      <x:c r="K6" s="1" t="str">
        <x:v>No</x:v>
      </x:c>
      <x:c r="L6" s="1" t="n">
        <x:f>SUMIF(Rutas_Diarias!$G$2:$G$110,A6,Rutas_Diarias!$P$2:$P$110)</x:f>
        <x:v>0</x:v>
      </x:c>
      <x:c r="M6" s="1" t="n">
        <x:f>SUMIF(Rutas_Diarias!$G$2:$G$110,A6,Rutas_Diarias!$S$2:$S$110)</x:f>
        <x:v>0</x:v>
      </x:c>
    </x:row>
    <x:row r="7">
      <x:c r="A7" s="1" t="str">
        <x:v>V006</x:v>
      </x:c>
      <x:c r="B7" s="1" t="str">
        <x:v>Pickup con carrocería</x:v>
      </x:c>
      <x:c r="C7" s="1" t="str">
        <x:v>PDD-5501</x:v>
      </x:c>
      <x:c r="D7" s="1" t="n">
        <x:v>12</x:v>
      </x:c>
      <x:c r="E7" s="1" t="n">
        <x:v>10</x:v>
      </x:c>
      <x:c r="F7" s="1" t="n">
        <x:f>Parametros_Operacion!$H$5</x:f>
        <x:v>38.1253</x:v>
      </x:c>
      <x:c r="G7" s="1" t="n">
        <x:v>47</x:v>
      </x:c>
      <x:c r="H7" s="1" t="str">
        <x:v>Diésel</x:v>
      </x:c>
      <x:c r="I7" s="1" t="n">
        <x:f>SUMIF(Rutas_Base!$E$2:$E$152,A7,Rutas_Base!$H$2:$H$152)</x:f>
        <x:v>2777.2700000000004</x:v>
      </x:c>
      <x:c r="J7" s="1" t="n">
        <x:f>SUMIF(Rutas_Base!$E$2:$E$152,A7,Rutas_Base!$L$2:$L$152)</x:f>
        <x:v>10588.450000000003</x:v>
      </x:c>
      <x:c r="K7" s="1" t="str">
        <x:v>No</x:v>
      </x:c>
      <x:c r="L7" s="1" t="n">
        <x:f>SUMIF(Rutas_Diarias!$G$2:$G$110,A7,Rutas_Diarias!$P$2:$P$110)</x:f>
        <x:v>0</x:v>
      </x:c>
      <x:c r="M7" s="1" t="n">
        <x:f>SUMIF(Rutas_Diarias!$G$2:$G$110,A7,Rutas_Diarias!$S$2:$S$110)</x:f>
        <x:v>0</x:v>
      </x:c>
    </x:row>
    <x:row r="8">
      <x:c r="A8" s="1" t="str">
        <x:v>V007</x:v>
      </x:c>
      <x:c r="B8" s="1" t="str">
        <x:v>Pickup con carrocería</x:v>
      </x:c>
      <x:c r="C8" s="1" t="str">
        <x:v>PDD-5502</x:v>
      </x:c>
      <x:c r="D8" s="1" t="n">
        <x:v>12</x:v>
      </x:c>
      <x:c r="E8" s="1" t="n">
        <x:v>10</x:v>
      </x:c>
      <x:c r="F8" s="1" t="n">
        <x:f>Parametros_Operacion!$H$5</x:f>
        <x:v>38.1253</x:v>
      </x:c>
      <x:c r="G8" s="1" t="n">
        <x:v>46</x:v>
      </x:c>
      <x:c r="H8" s="1" t="str">
        <x:v>Diésel</x:v>
      </x:c>
      <x:c r="I8" s="1" t="n">
        <x:f>SUMIF(Rutas_Base!$E$2:$E$152,A8,Rutas_Base!$H$2:$H$152)</x:f>
        <x:v>4121.370000000001</x:v>
      </x:c>
      <x:c r="J8" s="1" t="n">
        <x:f>SUMIF(Rutas_Base!$E$2:$E$152,A8,Rutas_Base!$L$2:$L$152)</x:f>
        <x:v>15712.84</x:v>
      </x:c>
      <x:c r="K8" s="1" t="str">
        <x:v>Sí</x:v>
      </x:c>
      <x:c r="L8" s="1" t="n">
        <x:f>SUMIF(Rutas_Diarias!$G$2:$G$110,A8,Rutas_Diarias!$P$2:$P$110)</x:f>
        <x:v>5061.739999999999</x:v>
      </x:c>
      <x:c r="M8" s="1" t="n">
        <x:f>SUMIF(Rutas_Diarias!$G$2:$G$110,A8,Rutas_Diarias!$S$2:$S$110)</x:f>
        <x:v>19298.069999999996</x:v>
      </x:c>
    </x:row>
    <x:row r="9">
      <x:c r="A9" s="1" t="str">
        <x:v>V008</x:v>
      </x:c>
      <x:c r="B9" s="1" t="str">
        <x:v>Camión pequeño</x:v>
      </x:c>
      <x:c r="C9" s="1" t="str">
        <x:v>TGU-5503</x:v>
      </x:c>
      <x:c r="D9" s="1" t="n">
        <x:v>20</x:v>
      </x:c>
      <x:c r="E9" s="1" t="n">
        <x:v>7.5</x:v>
      </x:c>
      <x:c r="F9" s="1" t="n">
        <x:f>Parametros_Operacion!$H$5</x:f>
        <x:v>38.1253</x:v>
      </x:c>
      <x:c r="G9" s="1" t="n">
        <x:v>42</x:v>
      </x:c>
      <x:c r="H9" s="1" t="str">
        <x:v>Diésel</x:v>
      </x:c>
      <x:c r="I9" s="1" t="n">
        <x:f>SUMIF(Rutas_Base!$E$2:$E$152,A9,Rutas_Base!$H$2:$H$152)</x:f>
        <x:v>308.03</x:v>
      </x:c>
      <x:c r="J9" s="1" t="n">
        <x:f>SUMIF(Rutas_Base!$E$2:$E$152,A9,Rutas_Base!$L$2:$L$152)</x:f>
        <x:v>1565.81</x:v>
      </x:c>
      <x:c r="K9" s="1" t="str">
        <x:v>No</x:v>
      </x:c>
      <x:c r="L9" s="1" t="n">
        <x:f>SUMIF(Rutas_Diarias!$G$2:$G$110,A9,Rutas_Diarias!$P$2:$P$110)</x:f>
        <x:v>0</x:v>
      </x:c>
      <x:c r="M9" s="1" t="n">
        <x:f>SUMIF(Rutas_Diarias!$G$2:$G$110,A9,Rutas_Diarias!$S$2:$S$110)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24.440000534057617" hidden="0" customWidth="1"/>
    <x:col min="3" max="3" width="19.440000534057617" hidden="0" customWidth="1"/>
    <x:col min="4" max="4" width="16.670000076293945" hidden="0" customWidth="1"/>
    <x:col min="5" max="5" width="16.670000076293945" hidden="0" customWidth="1"/>
    <x:col min="6" max="6" width="21.110000610351562" hidden="0" customWidth="1"/>
    <x:col min="7" max="7" width="17.780000686645508" hidden="0" customWidth="1"/>
    <x:col min="8" max="8" width="27.780000686645508" hidden="0" customWidth="1"/>
    <x:col min="9" max="9" width="17.780000686645508" hidden="0" customWidth="1"/>
    <x:col min="10" max="10" width="20" hidden="0" customWidth="1"/>
    <x:col min="11" max="11" width="21.110000610351562" hidden="0" customWidth="1"/>
  </x:cols>
  <x:sheetData>
    <x:row r="1" ht="30" customHeight="1">
      <x:c r="A1" s="3" t="str">
        <x:v>id_repartidor</x:v>
      </x:c>
      <x:c r="B1" s="3" t="str">
        <x:v>nombre_repartidor</x:v>
      </x:c>
      <x:c r="C1" s="3" t="str">
        <x:v>zona_base</x:v>
      </x:c>
      <x:c r="D1" s="3" t="str">
        <x:v>id_vehiculo</x:v>
      </x:c>
      <x:c r="E1" s="3" t="str">
        <x:v>km_base</x:v>
      </x:c>
      <x:c r="F1" s="3" t="str">
        <x:v>costo_base_L</x:v>
      </x:c>
      <x:c r="G1" s="3" t="str">
        <x:v>zona_propuesta</x:v>
      </x:c>
      <x:c r="H1" s="3" t="str">
        <x:v>municipios_propuestos</x:v>
      </x:c>
      <x:c r="I1" s="3" t="str">
        <x:v>km_propuestos</x:v>
      </x:c>
      <x:c r="J1" s="3" t="str">
        <x:v>costo_propuesto_L</x:v>
      </x:c>
      <x:c r="K1" s="3" t="str">
        <x:v>salario_mensual_sup_L</x:v>
      </x:c>
    </x:row>
    <x:row r="2">
      <x:c r="A2" s="1" t="str">
        <x:v>R001</x:v>
      </x:c>
      <x:c r="B2" s="1" t="str">
        <x:v>Carlos Mejía</x:v>
      </x:c>
      <x:c r="C2" s="1" t="str">
        <x:v>La Ceiba</x:v>
      </x:c>
      <x:c r="D2" s="1" t="str">
        <x:v>V001</x:v>
      </x:c>
      <x:c r="E2" s="1" t="n">
        <x:f>SUMIF(Rutas_Base!$C$2:$C$152,A2,Rutas_Base!$H$2:$H$152)</x:f>
        <x:v>231.29999999999998</x:v>
      </x:c>
      <x:c r="F2" s="1" t="n">
        <x:f>SUMIF(Rutas_Base!$C$2:$C$152,A2,Rutas_Base!$L$2:$L$152)</x:f>
        <x:v>801.64</x:v>
      </x:c>
      <x:c r="G2" s="1" t="str">
        <x:v>Z1</x:v>
      </x:c>
      <x:c r="H2" s="1" t="str">
        <x:v>La Ceiba + Jutiapa</x:v>
      </x:c>
      <x:c r="I2" s="1" t="n">
        <x:f>SUMIF(Rutas_Diarias!$E$2:$E$110,A2,Rutas_Diarias!$P$2:$P$110)</x:f>
        <x:v>1202.69</x:v>
      </x:c>
      <x:c r="J2" s="1" t="n">
        <x:f>SUMIF(Rutas_Diarias!$E$2:$E$110,A2,Rutas_Diarias!$S$2:$S$110)</x:f>
        <x:v>4168.43</x:v>
      </x:c>
      <x:c r="K2" s="1" t="n">
        <x:f>Parametros_Operacion!$H$12</x:f>
        <x:v>18000</x:v>
      </x:c>
    </x:row>
    <x:row r="3">
      <x:c r="A3" s="1" t="str">
        <x:v>R002</x:v>
      </x:c>
      <x:c r="B3" s="1" t="str">
        <x:v>Ana López</x:v>
      </x:c>
      <x:c r="C3" s="1" t="str">
        <x:v>Tela</x:v>
      </x:c>
      <x:c r="D3" s="1" t="str">
        <x:v>V002</x:v>
      </x:c>
      <x:c r="E3" s="1" t="n">
        <x:f>SUMIF(Rutas_Base!$C$2:$C$152,A3,Rutas_Base!$H$2:$H$152)</x:f>
        <x:v>4055.600000000001</x:v>
      </x:c>
      <x:c r="F3" s="1" t="n">
        <x:f>SUMIF(Rutas_Base!$C$2:$C$152,A3,Rutas_Base!$L$2:$L$152)</x:f>
        <x:v>14725.820000000002</x:v>
      </x:c>
      <x:c r="G3" s="1" t="str">
        <x:v>Z4</x:v>
      </x:c>
      <x:c r="H3" s="1" t="str">
        <x:v>Arizona + Tela</x:v>
      </x:c>
      <x:c r="I3" s="1" t="n">
        <x:f>SUMIF(Rutas_Diarias!$E$2:$E$110,A3,Rutas_Diarias!$P$2:$P$110)</x:f>
        <x:v>5526.469999999999</x:v>
      </x:c>
      <x:c r="J3" s="1" t="n">
        <x:f>SUMIF(Rutas_Diarias!$E$2:$E$110,A3,Rutas_Diarias!$S$2:$S$110)</x:f>
        <x:v>20066.550000000003</x:v>
      </x:c>
      <x:c r="K3" s="1" t="n">
        <x:f>Parametros_Operacion!$H$12</x:f>
        <x:v>18000</x:v>
      </x:c>
    </x:row>
    <x:row r="4">
      <x:c r="A4" s="1" t="str">
        <x:v>R003</x:v>
      </x:c>
      <x:c r="B4" s="1" t="str">
        <x:v>Luis Ramírez</x:v>
      </x:c>
      <x:c r="C4" s="1" t="str">
        <x:v>Jutiapa</x:v>
      </x:c>
      <x:c r="D4" s="1" t="str">
        <x:v>V003</x:v>
      </x:c>
      <x:c r="E4" s="1" t="n">
        <x:f>SUMIF(Rutas_Base!$C$2:$C$152,A4,Rutas_Base!$H$2:$H$152)</x:f>
        <x:v>973.8899999999999</x:v>
      </x:c>
      <x:c r="F4" s="1" t="n">
        <x:f>SUMIF(Rutas_Base!$C$2:$C$152,A4,Rutas_Base!$L$2:$L$152)</x:f>
        <x:v>3712.9700000000007</x:v>
      </x:c>
      <x:c r="G4" s="1" t="str">
        <x:v>Reasignable</x:v>
      </x:c>
      <x:c r="H4" s="1" t="str">
        <x:v>Sin ruta en escenario</x:v>
      </x:c>
      <x:c r="I4" s="1" t="n">
        <x:f>SUMIF(Rutas_Diarias!$E$2:$E$110,A4,Rutas_Diarias!$P$2:$P$110)</x:f>
        <x:v>0</x:v>
      </x:c>
      <x:c r="J4" s="1" t="n">
        <x:f>SUMIF(Rutas_Diarias!$E$2:$E$110,A4,Rutas_Diarias!$S$2:$S$110)</x:f>
        <x:v>0</x:v>
      </x:c>
      <x:c r="K4" s="1" t="n">
        <x:f>Parametros_Operacion!$H$12</x:f>
        <x:v>18000</x:v>
      </x:c>
    </x:row>
    <x:row r="5">
      <x:c r="A5" s="1" t="str">
        <x:v>R004</x:v>
      </x:c>
      <x:c r="B5" s="1" t="str">
        <x:v>Daniela Cruz</x:v>
      </x:c>
      <x:c r="C5" s="1" t="str">
        <x:v>La Masica</x:v>
      </x:c>
      <x:c r="D5" s="1" t="str">
        <x:v>V004</x:v>
      </x:c>
      <x:c r="E5" s="1" t="n">
        <x:f>SUMIF(Rutas_Base!$C$2:$C$152,A5,Rutas_Base!$H$2:$H$152)</x:f>
        <x:v>2694.21</x:v>
      </x:c>
      <x:c r="F5" s="1" t="n">
        <x:f>SUMIF(Rutas_Base!$C$2:$C$152,A5,Rutas_Base!$L$2:$L$152)</x:f>
        <x:v>9782.659999999998</x:v>
      </x:c>
      <x:c r="G5" s="1" t="str">
        <x:v>Z2</x:v>
      </x:c>
      <x:c r="H5" s="1" t="str">
        <x:v>El Porvenir + San Francisco</x:v>
      </x:c>
      <x:c r="I5" s="1" t="n">
        <x:f>SUMIF(Rutas_Diarias!$E$2:$E$110,A5,Rutas_Diarias!$P$2:$P$110)</x:f>
        <x:v>1299.17</x:v>
      </x:c>
      <x:c r="J5" s="1" t="n">
        <x:f>SUMIF(Rutas_Diarias!$E$2:$E$110,A5,Rutas_Diarias!$S$2:$S$110)</x:f>
        <x:v>4717.26</x:v>
      </x:c>
      <x:c r="K5" s="1" t="n">
        <x:f>Parametros_Operacion!$H$12</x:f>
        <x:v>18000</x:v>
      </x:c>
    </x:row>
    <x:row r="6">
      <x:c r="A6" s="1" t="str">
        <x:v>R005</x:v>
      </x:c>
      <x:c r="B6" s="1" t="str">
        <x:v>José Martínez</x:v>
      </x:c>
      <x:c r="C6" s="1" t="str">
        <x:v>San Francisco</x:v>
      </x:c>
      <x:c r="D6" s="1" t="str">
        <x:v>V005</x:v>
      </x:c>
      <x:c r="E6" s="1" t="n">
        <x:f>SUMIF(Rutas_Base!$C$2:$C$152,A6,Rutas_Base!$H$2:$H$152)</x:f>
        <x:v>1123.1399999999999</x:v>
      </x:c>
      <x:c r="F6" s="1" t="n">
        <x:f>SUMIF(Rutas_Base!$C$2:$C$152,A6,Rutas_Base!$L$2:$L$152)</x:f>
        <x:v>5352.52</x:v>
      </x:c>
      <x:c r="G6" s="1" t="str">
        <x:v>Reasignable</x:v>
      </x:c>
      <x:c r="H6" s="1" t="str">
        <x:v>Sin ruta en escenario</x:v>
      </x:c>
      <x:c r="I6" s="1" t="n">
        <x:f>SUMIF(Rutas_Diarias!$E$2:$E$110,A6,Rutas_Diarias!$P$2:$P$110)</x:f>
        <x:v>0</x:v>
      </x:c>
      <x:c r="J6" s="1" t="n">
        <x:f>SUMIF(Rutas_Diarias!$E$2:$E$110,A6,Rutas_Diarias!$S$2:$S$110)</x:f>
        <x:v>0</x:v>
      </x:c>
      <x:c r="K6" s="1" t="n">
        <x:f>Parametros_Operacion!$H$12</x:f>
        <x:v>18000</x:v>
      </x:c>
    </x:row>
    <x:row r="7">
      <x:c r="A7" s="1" t="str">
        <x:v>R006</x:v>
      </x:c>
      <x:c r="B7" s="1" t="str">
        <x:v>Kevin Flores</x:v>
      </x:c>
      <x:c r="C7" s="1" t="str">
        <x:v>Arizona</x:v>
      </x:c>
      <x:c r="D7" s="1" t="str">
        <x:v>V006</x:v>
      </x:c>
      <x:c r="E7" s="1" t="n">
        <x:f>SUMIF(Rutas_Base!$C$2:$C$152,A7,Rutas_Base!$H$2:$H$152)</x:f>
        <x:v>2777.2700000000004</x:v>
      </x:c>
      <x:c r="F7" s="1" t="n">
        <x:f>SUMIF(Rutas_Base!$C$2:$C$152,A7,Rutas_Base!$L$2:$L$152)</x:f>
        <x:v>10588.450000000003</x:v>
      </x:c>
      <x:c r="G7" s="1" t="str">
        <x:v>Reasignable</x:v>
      </x:c>
      <x:c r="H7" s="1" t="str">
        <x:v>Sin ruta en escenario</x:v>
      </x:c>
      <x:c r="I7" s="1" t="n">
        <x:f>SUMIF(Rutas_Diarias!$E$2:$E$110,A7,Rutas_Diarias!$P$2:$P$110)</x:f>
        <x:v>0</x:v>
      </x:c>
      <x:c r="J7" s="1" t="n">
        <x:f>SUMIF(Rutas_Diarias!$E$2:$E$110,A7,Rutas_Diarias!$S$2:$S$110)</x:f>
        <x:v>0</x:v>
      </x:c>
      <x:c r="K7" s="1" t="n">
        <x:f>Parametros_Operacion!$H$12</x:f>
        <x:v>18000</x:v>
      </x:c>
    </x:row>
    <x:row r="8">
      <x:c r="A8" s="1" t="str">
        <x:v>R007</x:v>
      </x:c>
      <x:c r="B8" s="1" t="str">
        <x:v>María Hernández</x:v>
      </x:c>
      <x:c r="C8" s="1" t="str">
        <x:v>Esparta</x:v>
      </x:c>
      <x:c r="D8" s="1" t="str">
        <x:v>V007</x:v>
      </x:c>
      <x:c r="E8" s="1" t="n">
        <x:f>SUMIF(Rutas_Base!$C$2:$C$152,A8,Rutas_Base!$H$2:$H$152)</x:f>
        <x:v>4121.370000000001</x:v>
      </x:c>
      <x:c r="F8" s="1" t="n">
        <x:f>SUMIF(Rutas_Base!$C$2:$C$152,A8,Rutas_Base!$L$2:$L$152)</x:f>
        <x:v>15712.84</x:v>
      </x:c>
      <x:c r="G8" s="1" t="str">
        <x:v>Z3</x:v>
      </x:c>
      <x:c r="H8" s="1" t="str">
        <x:v>La Masica + Esparta</x:v>
      </x:c>
      <x:c r="I8" s="1" t="n">
        <x:f>SUMIF(Rutas_Diarias!$E$2:$E$110,A8,Rutas_Diarias!$P$2:$P$110)</x:f>
        <x:v>5061.739999999999</x:v>
      </x:c>
      <x:c r="J8" s="1" t="n">
        <x:f>SUMIF(Rutas_Diarias!$E$2:$E$110,A8,Rutas_Diarias!$S$2:$S$110)</x:f>
        <x:v>19298.069999999996</x:v>
      </x:c>
      <x:c r="K8" s="1" t="n">
        <x:f>Parametros_Operacion!$H$12</x:f>
        <x:v>18000</x:v>
      </x:c>
    </x:row>
    <x:row r="9">
      <x:c r="A9" s="1" t="str">
        <x:v>R008</x:v>
      </x:c>
      <x:c r="B9" s="1" t="str">
        <x:v>Jorge Castro</x:v>
      </x:c>
      <x:c r="C9" s="1" t="str">
        <x:v>El Porvenir</x:v>
      </x:c>
      <x:c r="D9" s="1" t="str">
        <x:v>V008</x:v>
      </x:c>
      <x:c r="E9" s="1" t="n">
        <x:f>SUMIF(Rutas_Base!$C$2:$C$152,A9,Rutas_Base!$H$2:$H$152)</x:f>
        <x:v>308.03</x:v>
      </x:c>
      <x:c r="F9" s="1" t="n">
        <x:f>SUMIF(Rutas_Base!$C$2:$C$152,A9,Rutas_Base!$L$2:$L$152)</x:f>
        <x:v>1565.81</x:v>
      </x:c>
      <x:c r="G9" s="1" t="str">
        <x:v>Reasignable</x:v>
      </x:c>
      <x:c r="H9" s="1" t="str">
        <x:v>Sin ruta en escenario</x:v>
      </x:c>
      <x:c r="I9" s="1" t="n">
        <x:f>SUMIF(Rutas_Diarias!$E$2:$E$110,A9,Rutas_Diarias!$P$2:$P$110)</x:f>
        <x:v>0</x:v>
      </x:c>
      <x:c r="J9" s="1" t="n">
        <x:f>SUMIF(Rutas_Diarias!$E$2:$E$110,A9,Rutas_Diarias!$S$2:$S$110)</x:f>
        <x:v>0</x:v>
      </x:c>
      <x:c r="K9" s="1" t="n">
        <x:f>Parametros_Operacion!$H$12</x:f>
        <x:v>18000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329999923706055" hidden="0" customWidth="1"/>
    <x:col min="2" max="2" width="31.110000610351562" hidden="0" customWidth="1"/>
    <x:col min="3" max="3" width="21.110000610351562" hidden="0" customWidth="1"/>
    <x:col min="4" max="4" width="63.33000183105469" hidden="0" customWidth="1"/>
    <x:col min="5" max="5" width="3.3299999237060547" hidden="0" customWidth="1"/>
    <x:col min="6" max="6" width="17.780000686645508" hidden="0" customWidth="1"/>
    <x:col min="7" max="7" width="32.220001220703125" hidden="0" customWidth="1"/>
    <x:col min="8" max="8" width="55.560001373291016" hidden="0" customWidth="1"/>
    <x:col min="9" max="9" width="12.779999732971191" hidden="0" customWidth="1"/>
    <x:col min="10" max="10" width="58.88999938964844" hidden="0" customWidth="1"/>
    <x:col min="12" max="12" width="10.5600004196167" hidden="0" customWidth="1"/>
    <x:col min="13" max="13" width="17.219999313354492" hidden="0" customWidth="1"/>
    <x:col min="14" max="14" width="17.780000686645508" hidden="0" customWidth="1"/>
    <x:col min="15" max="15" width="23.329999923706055" hidden="0" customWidth="1"/>
    <x:col min="16" max="16" width="17.780000686645508" hidden="0" customWidth="1"/>
  </x:cols>
  <x:sheetData>
    <x:row r="1" ht="30" customHeight="1">
      <x:c r="A1" s="3" t="str">
        <x:v>Municipio</x:v>
      </x:c>
      <x:c r="B1" s="3" t="str">
        <x:v>Distancia carretera ida desde La Ceiba (km)</x:v>
      </x:c>
      <x:c r="C1" s="3" t="str">
        <x:v>Método</x:v>
      </x:c>
      <x:c r="D1" s="3" t="str">
        <x:v>Fuente o nota</x:v>
      </x:c>
      <x:c r="E1" s="3" t="str"/>
      <x:c r="F1" s="3" t="str">
        <x:v>Combustible</x:v>
      </x:c>
      <x:c r="G1" s="3" t="str">
        <x:v>Dato</x:v>
      </x:c>
      <x:c r="H1" s="3" t="str">
        <x:v>Valor</x:v>
      </x:c>
      <x:c r="I1" s="3" t="str">
        <x:v>Unidad</x:v>
      </x:c>
      <x:c r="J1" s="3" t="str">
        <x:v>Fuente / vigencia</x:v>
      </x:c>
      <x:c r="L1" s="3" t="str">
        <x:v>Zona</x:v>
      </x:c>
      <x:c r="M1" s="3" t="str">
        <x:v>Municipio 1</x:v>
      </x:c>
      <x:c r="N1" s="3" t="str">
        <x:v>Municipio 2</x:v>
      </x:c>
      <x:c r="O1" s="3" t="str">
        <x:v>Repartidor propuesto</x:v>
      </x:c>
      <x:c r="P1" s="3" t="str">
        <x:v>Vehículo propuesto</x:v>
      </x:c>
    </x:row>
    <x:row r="2">
      <x:c r="A2" s="1" t="str">
        <x:v>Arizona</x:v>
      </x:c>
      <x:c r="B2" s="8" t="n">
        <x:v>72.5</x:v>
      </x:c>
      <x:c r="C2" s="1" t="str">
        <x:v>Ruta a casco urbano</x:v>
      </x:c>
      <x:c r="D2" s="1" t="str">
        <x:v>https://www.rome2rio.com/es/s/Arizona-Honduras/La-Ceiba</x:v>
      </x:c>
      <x:c r="E2" s="1" t="str"/>
      <x:c r="F2" s="1" t="str">
        <x:v>Tipo</x:v>
      </x:c>
      <x:c r="G2" s="1" t="str">
        <x:v>Diésel</x:v>
      </x:c>
      <x:c r="H2" s="1" t="str"/>
      <x:c r="I2" s="1" t="str"/>
      <x:c r="J2" s="1" t="str">
        <x:v>https://app.ahdippe.org/precios-por-galon-2/</x:v>
      </x:c>
      <x:c r="L2" t="str">
        <x:v>Z1</x:v>
      </x:c>
      <x:c r="M2" t="str">
        <x:v>La Ceiba</x:v>
      </x:c>
      <x:c r="N2" t="str">
        <x:v>Jutiapa</x:v>
      </x:c>
      <x:c r="O2" t="str">
        <x:v>Carlos Mejía</x:v>
      </x:c>
      <x:c r="P2" t="str">
        <x:v>V001</x:v>
      </x:c>
    </x:row>
    <x:row r="3">
      <x:c r="A3" s="1" t="str">
        <x:v>El Porvenir</x:v>
      </x:c>
      <x:c r="B3" s="8" t="n">
        <x:v>16.5</x:v>
      </x:c>
      <x:c r="C3" s="1" t="str">
        <x:v>Ruta a casco urbano</x:v>
      </x:c>
      <x:c r="D3" s="1" t="str">
        <x:v>https://www.rome2rio.com/es/s/La-Ceiba/El-Porvenir</x:v>
      </x:c>
      <x:c r="E3" s="1" t="str"/>
      <x:c r="F3" s="1" t="str">
        <x:v>Precio por galón</x:v>
      </x:c>
      <x:c r="G3" s="1" t="str"/>
      <x:c r="H3" s="9" t="n">
        <x:v>144.32</x:v>
      </x:c>
      <x:c r="I3" s="1" t="str">
        <x:v>L/gal</x:v>
      </x:c>
      <x:c r="J3" s="1" t="str">
        <x:v>https://app.ahdippe.org/precios-por-galon-2/</x:v>
      </x:c>
      <x:c r="L3" t="str">
        <x:v>Z2</x:v>
      </x:c>
      <x:c r="M3" t="str">
        <x:v>El Porvenir</x:v>
      </x:c>
      <x:c r="N3" t="str">
        <x:v>San Francisco</x:v>
      </x:c>
      <x:c r="O3" t="str">
        <x:v>Daniela Cruz</x:v>
      </x:c>
      <x:c r="P3" t="str">
        <x:v>V004</x:v>
      </x:c>
    </x:row>
    <x:row r="4">
      <x:c r="A4" s="1" t="str">
        <x:v>Esparta</x:v>
      </x:c>
      <x:c r="B4" s="8" t="n">
        <x:v>75.5</x:v>
      </x:c>
      <x:c r="C4" s="1" t="str">
        <x:v>Ruta a casco urbano</x:v>
      </x:c>
      <x:c r="D4" s="1" t="str">
        <x:v>https://www.rome2rio.com/es/s/La-Ceiba/Esparta-Atl%C3%A1ntida-Honduras</x:v>
      </x:c>
      <x:c r="E4" s="1" t="str"/>
      <x:c r="F4" s="1" t="str">
        <x:v>Litros por galón estadounidense</x:v>
      </x:c>
      <x:c r="G4" s="1" t="str"/>
      <x:c r="H4" s="9" t="n">
        <x:v>3.785411784</x:v>
      </x:c>
      <x:c r="I4" s="1" t="str">
        <x:v>L/gal US</x:v>
      </x:c>
      <x:c r="J4" s="1" t="str">
        <x:v>https://app.ahdippe.org/precios-por-galon-2/</x:v>
      </x:c>
      <x:c r="L4" t="str">
        <x:v>Z3</x:v>
      </x:c>
      <x:c r="M4" t="str">
        <x:v>La Masica</x:v>
      </x:c>
      <x:c r="N4" t="str">
        <x:v>Esparta</x:v>
      </x:c>
      <x:c r="O4" t="str">
        <x:v>María Hernández</x:v>
      </x:c>
      <x:c r="P4" t="str">
        <x:v>V007</x:v>
      </x:c>
    </x:row>
    <x:row r="5">
      <x:c r="A5" s="1" t="str">
        <x:v>Jutiapa</x:v>
      </x:c>
      <x:c r="B5" s="8" t="n">
        <x:v>31.4</x:v>
      </x:c>
      <x:c r="C5" s="1" t="str">
        <x:v>Ruta a casco urbano</x:v>
      </x:c>
      <x:c r="D5" s="1" t="str">
        <x:v>https://www.rome2rio.com/es/s/La-Ceiba/Jutiapa-Atl%C3%A1ntida-Honduras</x:v>
      </x:c>
      <x:c r="E5" s="1" t="str"/>
      <x:c r="F5" s="1" t="str">
        <x:v>Precio por litro</x:v>
      </x:c>
      <x:c r="G5" s="1" t="str"/>
      <x:c r="H5" s="9" t="n">
        <x:f>ROUND(H3/H4,4)</x:f>
        <x:v>38.1253</x:v>
      </x:c>
      <x:c r="I5" s="1" t="str">
        <x:v>L/litro</x:v>
      </x:c>
      <x:c r="J5" s="1" t="str">
        <x:v>https://app.ahdippe.org/precios-por-galon-2/</x:v>
      </x:c>
      <x:c r="L5" t="str">
        <x:v>Z4</x:v>
      </x:c>
      <x:c r="M5" t="str">
        <x:v>Arizona</x:v>
      </x:c>
      <x:c r="N5" t="str">
        <x:v>Tela</x:v>
      </x:c>
      <x:c r="O5" t="str">
        <x:v>Ana López</x:v>
      </x:c>
      <x:c r="P5" t="str">
        <x:v>V002</x:v>
      </x:c>
    </x:row>
    <x:row r="6">
      <x:c r="A6" s="1" t="str">
        <x:v>La Ceiba</x:v>
      </x:c>
      <x:c r="B6" s="8" t="n">
        <x:v>0</x:v>
      </x:c>
      <x:c r="C6" s="1" t="str">
        <x:v>Ruta a casco urbano</x:v>
      </x:c>
      <x:c r="D6" s="1" t="str">
        <x:v>Sede principal: distancia intermunicipal nula</x:v>
      </x:c>
      <x:c r="E6" s="1" t="str"/>
      <x:c r="F6" s="1" t="str">
        <x:v>Vigencia desde</x:v>
      </x:c>
      <x:c r="G6" s="1" t="str"/>
      <x:c r="H6" s="1" t="str">
        <x:v>2026-09-14</x:v>
      </x:c>
      <x:c r="I6" s="1" t="str"/>
      <x:c r="J6" s="1" t="str">
        <x:v>https://app.ahdippe.org/precios-por-galon-2/</x:v>
      </x:c>
    </x:row>
    <x:row r="7">
      <x:c r="A7" s="1" t="str">
        <x:v>La Masica</x:v>
      </x:c>
      <x:c r="B7" s="8" t="n">
        <x:v>41.2</x:v>
      </x:c>
      <x:c r="C7" s="1" t="str">
        <x:v>Ruta a casco urbano</x:v>
      </x:c>
      <x:c r="D7" s="1" t="str">
        <x:v>https://www.rome2rio.com/es/s/La-Ceiba/La-Masica</x:v>
      </x:c>
      <x:c r="E7" s="1" t="str"/>
      <x:c r="F7" s="1" t="str">
        <x:v>Fecha de consulta</x:v>
      </x:c>
      <x:c r="G7" s="1" t="str"/>
      <x:c r="H7" s="1" t="str">
        <x:v>2026-09-17</x:v>
      </x:c>
      <x:c r="I7" s="1" t="str"/>
      <x:c r="J7" s="1" t="str">
        <x:v>https://app.ahdippe.org/precios-por-galon-2/</x:v>
      </x:c>
    </x:row>
    <x:row r="8">
      <x:c r="A8" s="1" t="str">
        <x:v>San Francisco</x:v>
      </x:c>
      <x:c r="B8" s="8" t="n">
        <x:v>35</x:v>
      </x:c>
      <x:c r="C8" s="1" t="str">
        <x:v>Estimación por validar</x:v>
      </x:c>
      <x:c r="D8" s="1" t="str">
        <x:v>Estimación de planificación; validar en carretera (30–40 km)</x:v>
      </x:c>
      <x:c r="E8" s="1" t="str"/>
      <x:c r="F8" s="1" t="str"/>
      <x:c r="G8" s="1" t="str"/>
      <x:c r="H8" s="1" t="str"/>
      <x:c r="I8" s="1" t="str"/>
      <x:c r="J8" s="1" t="str"/>
    </x:row>
    <x:row r="9">
      <x:c r="A9" s="1" t="str">
        <x:v>Tela</x:v>
      </x:c>
      <x:c r="B9" s="8" t="n">
        <x:v>102.3</x:v>
      </x:c>
      <x:c r="C9" s="1" t="str">
        <x:v>Ruta a casco urbano</x:v>
      </x:c>
      <x:c r="D9" s="1" t="str">
        <x:v>https://www.rome2rio.com/es/s/Tela/La-Ceiba</x:v>
      </x:c>
      <x:c r="E9" s="1" t="str"/>
      <x:c r="F9" s="1" t="str"/>
      <x:c r="G9" s="1" t="str"/>
      <x:c r="H9" s="1" t="str"/>
      <x:c r="I9" s="1" t="str"/>
      <x:c r="J9" s="1" t="str"/>
    </x:row>
    <x:row r="10">
      <x:c r="A10" s="1" t="str"/>
      <x:c r="B10" s="1" t="str"/>
      <x:c r="C10" s="1" t="str"/>
      <x:c r="D10" s="1" t="str"/>
      <x:c r="E10" s="1" t="str"/>
      <x:c r="F10" s="1" t="str">
        <x:v>Alcance</x:v>
      </x:c>
      <x:c r="G10" s="1" t="str">
        <x:v>Compra centralizada en La Ceiba</x:v>
      </x:c>
      <x:c r="H10" s="1" t="str">
        <x:v>Precio actual aplicado como escenario a pedidos de mayo-junio; no es gasto histórico</x:v>
      </x:c>
      <x:c r="I10" s="1" t="str"/>
      <x:c r="J10" s="1" t="str"/>
    </x:row>
    <x:row r="11">
      <x:c r="A11" s="1" t="str"/>
      <x:c r="B11" s="1" t="str"/>
      <x:c r="C11" s="1" t="str"/>
      <x:c r="D11" s="1" t="str"/>
      <x:c r="E11" s="1" t="str"/>
      <x:c r="F11" s="1" t="str">
        <x:v>Modelo</x:v>
      </x:c>
      <x:c r="G11" s="1" t="str">
        <x:v>2 × km intermunicipal + km reparto local</x:v>
      </x:c>
      <x:c r="H11" s="1" t="str">
        <x:v>Los km locales se estiman con coordenadas de clientes × 1.25; incluyen regreso al centro operativo local</x:v>
      </x:c>
      <x:c r="I11" s="1" t="str"/>
      <x:c r="J11" s="1" t="str"/>
    </x:row>
    <x:row r="12">
      <x:c r="F12" t="str">
        <x:v>Salario mensual supuesto</x:v>
      </x:c>
      <x:c r="G12" t="str">
        <x:v>Por repartidor</x:v>
      </x:c>
      <x:c r="H12" t="n">
        <x:v>18000</x:v>
      </x:c>
      <x:c r="I12" t="str">
        <x:v>L/mes</x:v>
      </x:c>
      <x:c r="J12" t="str">
        <x:v>Supuesto didáctico editable; no representa nómina real</x:v>
      </x:c>
    </x:row>
    <x:row r="13">
      <x:c r="F13" t="str">
        <x:v>Jornada máxima</x:v>
      </x:c>
      <x:c r="G13" t="str">
        <x:v>Por ruta propuesta</x:v>
      </x:c>
      <x:c r="H13" t="n">
        <x:v>480</x:v>
      </x:c>
      <x:c r="I13" t="str">
        <x:v>min/día</x:v>
      </x:c>
      <x:c r="J13" t="str">
        <x:v>Supuesto de 8 horas; no valida ventanas de entrega</x:v>
      </x:c>
    </x:row>
    <x:row r="14">
      <x:c r="F14" t="str">
        <x:v>Personal</x:v>
      </x:c>
      <x:c r="G14" t="str">
        <x:v>8 base; 4 en escenario</x:v>
      </x:c>
      <x:c r="H14" t="str">
        <x:v>Ahorro solo si se reducen puestos; reasignar personal no ahorra salario</x:v>
      </x:c>
      <x:c r="I14" t="str"/>
      <x:c r="J1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.66999816894531" hidden="0" customWidth="1"/>
    <x:col min="2" max="2" width="17.219999313354492" hidden="0" customWidth="1"/>
    <x:col min="3" max="3" width="67.77999877929688" hidden="0" customWidth="1"/>
  </x:cols>
  <x:sheetData>
    <x:row r="1" ht="30" customHeight="1">
      <x:c r="A1" s="3" t="str">
        <x:v>Indicador</x:v>
      </x:c>
      <x:c r="B1" s="3" t="str">
        <x:v>Valor</x:v>
      </x:c>
      <x:c r="C1" s="3" t="str">
        <x:v>Definición</x:v>
      </x:c>
    </x:row>
    <x:row r="2">
      <x:c r="A2" s="1" t="str">
        <x:v>Pedidos</x:v>
      </x:c>
      <x:c r="B2" s="1" t="n">
        <x:v>230</x:v>
      </x:c>
      <x:c r="C2" s="1" t="str">
        <x:v>Pedidos simulados del periodo</x:v>
      </x:c>
    </x:row>
    <x:row r="3">
      <x:c r="A3" s="1" t="str">
        <x:v>Tasa dentro de plazo (%)</x:v>
      </x:c>
      <x:c r="B3" s="1" t="n">
        <x:v>91.7</x:v>
      </x:c>
      <x:c r="C3" s="1" t="str">
        <x:v>Según hora límite simulada por prioridad</x:v>
      </x:c>
    </x:row>
    <x:row r="4">
      <x:c r="A4" s="1" t="str">
        <x:v>Distancia base (km)</x:v>
      </x:c>
      <x:c r="B4" s="1" t="n">
        <x:f>SUM(Rutas_Comparacion!H2:H5)</x:f>
        <x:v>16284.809999999998</x:v>
      </x:c>
      <x:c r="C4" s="1" t="str">
        <x:v>Ocho repartidores; rutas por municipio y día</x:v>
      </x:c>
    </x:row>
    <x:row r="5">
      <x:c r="A5" s="1" t="str">
        <x:v>Distancia propuesta (km)</x:v>
      </x:c>
      <x:c r="B5" s="1" t="n">
        <x:f>SUM(Rutas_Comparacion!I2:I5)</x:f>
        <x:v>13090.069999999998</x:v>
      </x:c>
      <x:c r="C5" s="1" t="str">
        <x:v>Cuatro repartidores; pares de municipios próximos</x:v>
      </x:c>
    </x:row>
    <x:row r="6">
      <x:c r="A6" s="1" t="str">
        <x:v>Ahorro potencial (km)</x:v>
      </x:c>
      <x:c r="B6" s="1" t="n">
        <x:f>SUM(Rutas_Comparacion!J2:J5)</x:f>
        <x:v>3194.74</x:v>
      </x:c>
      <x:c r="C6" s="1" t="str">
        <x:v>Distancia base menos propuesta; ambos incluyen regreso</x:v>
      </x:c>
    </x:row>
    <x:row r="7">
      <x:c r="A7" s="1" t="str">
        <x:v>Costo combustible base (L)</x:v>
      </x:c>
      <x:c r="B7" s="1" t="n">
        <x:f>SUM(Rutas_Comparacion!L2:L5)</x:f>
        <x:v>62242.71</x:v>
      </x:c>
      <x:c r="C7" s="1" t="str">
        <x:v>Precio diésel de septiembre 2026 aplicado como escenario</x:v>
      </x:c>
    </x:row>
    <x:row r="8">
      <x:c r="A8" s="1" t="str">
        <x:v>Costo combustible propuesto (L)</x:v>
      </x:c>
      <x:c r="B8" s="1" t="n">
        <x:f>SUM(Rutas_Comparacion!M2:M5)</x:f>
        <x:v>48250.31</x:v>
      </x:c>
      <x:c r="C8" s="1" t="str">
        <x:v>Distancia propuesta / rendimiento del vehículo asignado × precio</x:v>
      </x:c>
    </x:row>
    <x:row r="9">
      <x:c r="A9" s="1" t="str">
        <x:v>Ahorro combustible potencial (L)</x:v>
      </x:c>
      <x:c r="B9" s="1" t="n">
        <x:f>SUM(Rutas_Comparacion!N2:N5)</x:f>
        <x:v>13992.400000000001</x:v>
      </x:c>
      <x:c r="C9" s="1" t="str">
        <x:v>Base menos propuesto</x:v>
      </x:c>
    </x:row>
    <x:row r="10">
      <x:c r="A10" s="1" t="str">
        <x:v>Repartidores base</x:v>
      </x:c>
      <x:c r="B10" s="1" t="n">
        <x:v>8</x:v>
      </x:c>
      <x:c r="C10" s="1" t="str">
        <x:v>Uno por municipio en el escenario base</x:v>
      </x:c>
    </x:row>
    <x:row r="11">
      <x:c r="A11" s="1" t="str">
        <x:v>Repartidores propuestos</x:v>
      </x:c>
      <x:c r="B11" s="1" t="n">
        <x:v>4</x:v>
      </x:c>
      <x:c r="C11" s="1" t="str">
        <x:v>Uno por par de municipios; sin validar ventanas horarias</x:v>
      </x:c>
    </x:row>
    <x:row r="12">
      <x:c r="A12" s="1" t="str">
        <x:v>Ahorro salarial mensual supuesto (L)</x:v>
      </x:c>
      <x:c r="B12" s="1" t="n">
        <x:f>SUM(Rutas_Comparacion!T2:T5)</x:f>
        <x:v>72000</x:v>
      </x:c>
      <x:c r="C12" s="1" t="str">
        <x:v>Solo si se eliminan cuatro puestos; no aplica a reasignación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889999389648438" hidden="0" customWidth="1"/>
    <x:col min="2" max="2" width="121.11000061035156" hidden="0" customWidth="1"/>
  </x:cols>
  <x:sheetData>
    <x:row r="1" ht="30" customHeight="1">
      <x:c r="A1" s="3" t="str">
        <x:v>Tema</x:v>
      </x:c>
      <x:c r="B1" s="3" t="str">
        <x:v>Descripción</x:v>
      </x:c>
    </x:row>
    <x:row r="2">
      <x:c r="A2" s="1" t="str">
        <x:v>Naturaleza</x:v>
      </x:c>
      <x:c r="B2" s="1" t="str">
        <x:v>Empresa y operación ficticias para un proyecto académico; los datos no representan una empresa real.</x:v>
      </x:c>
    </x:row>
    <x:row r="3">
      <x:c r="A3" s="1" t="str">
        <x:v>Periodo</x:v>
      </x:c>
      <x:c r="B3" s="1" t="str">
        <x:v>2026-05-01 al 2026-06-17</x:v>
      </x:c>
    </x:row>
    <x:row r="4">
      <x:c r="A4" s="1" t="str">
        <x:v>Cobertura</x:v>
      </x:c>
      <x:c r="B4" s="1" t="str">
        <x:v>Ocho municipios de Atlántida. Base: ocho repartidores; propuesta: cuatro pares de municipios.</x:v>
      </x:c>
    </x:row>
    <x:row r="5">
      <x:c r="A5" s="1" t="str">
        <x:v>Depósito</x:v>
      </x:c>
      <x:c r="B5" s="1" t="str">
        <x:v>Sede principal simulada en La Ceiba. Distancia troncal La Ceiba→La Ceiba = 0 km.</x:v>
      </x:c>
    </x:row>
    <x:row r="6">
      <x:c r="A6" s="1" t="str">
        <x:v>Distancia</x:v>
      </x:c>
      <x:c r="B6" s="1" t="str">
        <x:v>Tabla de km por carretera desde La Ceiba al casco urbano + estimación local (Haversine × 1.25). San Francisco es estimación pendiente de validación.</x:v>
      </x:c>
    </x:row>
    <x:row r="7">
      <x:c r="A7" s="1" t="str">
        <x:v>Alcance</x:v>
      </x:c>
      <x:c r="B7" s="1" t="str">
        <x:v>Cada ruta contempla ida intermunicipal, reparto local y regreso. La Ceiba solo genera kilómetros locales.</x:v>
      </x:c>
    </x:row>
    <x:row r="8">
      <x:c r="A8" s="1" t="str">
        <x:v>Ruta base</x:v>
      </x:c>
      <x:c r="B8" s="1" t="str">
        <x:v>Un vehículo por municipio con pedidos cada día; conserva los ocho repartidores actuales simulados.</x:v>
      </x:c>
    </x:row>
    <x:row r="9">
      <x:c r="A9" s="1" t="str">
        <x:v>Ruta propuesta</x:v>
      </x:c>
      <x:c r="B9" s="1" t="str">
        <x:v>Un vehículo por par de municipios con pedidos cada día; conserva los mismos pedidos y fecha, optimiza el orden local y comparte el traslado troncal.</x:v>
      </x:c>
    </x:row>
    <x:row r="10">
      <x:c r="A10" s="1" t="str">
        <x:v>Días sin ahorro de km</x:v>
      </x:c>
      <x:c r="B10" s="1" t="str">
        <x:v>Si en una fecha solo hay pedidos en uno de los dos municipios y no mejora el orden local, los km antes y después son iguales. No se fuerza un ahorro artificial.</x:v>
      </x:c>
    </x:row>
    <x:row r="11">
      <x:c r="A11" s="1" t="str">
        <x:v>Pedidos</x:v>
      </x:c>
      <x:c r="B11" s="1" t="str">
        <x:v>Los kilómetros y el combustible asignados a cada pedido corresponden solo a la operación base. La propuesta comparte el traslado entre municipios y se calcula por ruta diaria, no por pedido.</x:v>
      </x:c>
    </x:row>
    <x:row r="12">
      <x:c r="A12" s="1" t="str">
        <x:v>Pares propuestos</x:v>
      </x:c>
      <x:c r="B12" s="1" t="str">
        <x:v>Carlos: La Ceiba y Jutiapa; Daniela: El Porvenir y San Francisco; María: La Masica y Esparta; Ana: Arizona y Tela.</x:v>
      </x:c>
    </x:row>
    <x:row r="13">
      <x:c r="A13" s="1" t="str">
        <x:v>Tramo entre municipios</x:v>
      </x:c>
      <x:c r="B13" s="1" t="str">
        <x:v>Para municipios del mismo corredor, se aproxima como diferencia de distancias desde La Ceiba. No hay medición GPS de la conexión entre cascos urbanos.</x:v>
      </x:c>
    </x:row>
    <x:row r="14">
      <x:c r="A14" s="1" t="str">
        <x:v>Personal</x:v>
      </x:c>
      <x:c r="B14" s="1" t="str">
        <x:v>Salario mensual L 18,000 por persona: supuesto editable. El ahorro salarial requiere reducir cuatro puestos; si se reasignan, no se materializa.</x:v>
      </x:c>
    </x:row>
    <x:row r="15">
      <x:c r="A15" s="1" t="str">
        <x:v>Viabilidad</x:v>
      </x:c>
      <x:c r="B15" s="1" t="str">
        <x:v>Capacidad de vehículo y jornada de ocho horas se comprueban por ruta diaria. Horarios límite de entrega del escenario propuesto no han sido validados.</x:v>
      </x:c>
    </x:row>
    <x:row r="16">
      <x:c r="A16" s="1" t="str">
        <x:v>Tiempo</x:v>
      </x:c>
      <x:c r="B16" s="1" t="str">
        <x:v>Rutas: distancia total / velocidad media del vehículo + 8 minutos por entrega; horario de pedido solo hasta entrega.</x:v>
      </x:c>
    </x:row>
    <x:row r="17">
      <x:c r="A17" s="1" t="str">
        <x:v>Combustible</x:v>
      </x:c>
      <x:c r="B17" s="1" t="str">
        <x:v>Distancia total / rendimiento del vehículo × precio diésel por litro de Parametros_Operacion. Cotización de septiembre aplicada como escenario, no gasto histórico.</x:v>
      </x:c>
    </x:row>
    <x:row r="18">
      <x:c r="A18" s="1" t="str">
        <x:v>Plazos</x:v>
      </x:c>
      <x:c r="B18" s="1" t="str">
        <x:v>Ventanas de entrega matutina simuladas: Alta 08:20; Media 08:50; Baja 09:30.</x:v>
      </x:c>
    </x:row>
    <x:row r="19">
      <x:c r="A19" s="1" t="str">
        <x:v>Límites</x:v>
      </x:c>
      <x:c r="B19" s="1" t="str">
        <x:v>Distancias intermunicipales de referencia a cascos urbanos; reparto local geométrico; sin GPS, tráfico, carga ni pausas. Precio varía semanalmente.</x:v>
      </x:c>
    </x:row>
    <x:row r="20">
      <x:c r="A20" s="1" t="str">
        <x:v>Interpretación</x:v>
      </x:c>
      <x:c r="B20" s="1" t="str">
        <x:v>Los ahorros son un escenario potencial, no ahorro operativo comprobado. No presentar el costo de septiembre como facturación de mayo-junio.</x:v>
      </x:c>
    </x:row>
    <x:row r="21">
      <x:c r="A21" s="1" t="str">
        <x:v>Procedencia</x:v>
      </x:c>
      <x:c r="B21" s="1" t="str">
        <x:v>Se conservaron IDs de pedidos y clientes, fechas de operación y valores comerciales del archivo simulado original.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.560001373291016" hidden="0" customWidth="1"/>
    <x:col min="2" max="2" width="88.88999938964844" hidden="0" customWidth="1"/>
  </x:cols>
  <x:sheetData>
    <x:row r="1" ht="30" customHeight="1">
      <x:c r="A1" s="3" t="str">
        <x:v>Campo</x:v>
      </x:c>
      <x:c r="B1" s="3" t="str">
        <x:v>Definición</x:v>
      </x:c>
    </x:row>
    <x:row r="2">
      <x:c r="A2" s="1" t="str">
        <x:v>fecha_entrega</x:v>
      </x:c>
      <x:c r="B2" s="1" t="str">
        <x:v>Fecha y hora de finalización de entrega simulada.</x:v>
      </x:c>
    </x:row>
    <x:row r="3">
      <x:c r="A3" s="1" t="str">
        <x:v>ciudad; latitud; longitud</x:v>
      </x:c>
      <x:c r="B3" s="1" t="str">
        <x:v>Municipio y coordenadas del maestro Clientes.</x:v>
      </x:c>
    </x:row>
    <x:row r="4">
      <x:c r="A4" s="1" t="str">
        <x:v>id_ruta</x:v>
      </x:c>
      <x:c r="B4" s="1" t="str">
        <x:v>Clave compartida entre Pedidos y Rutas_Base.</x:v>
      </x:c>
    </x:row>
    <x:row r="5">
      <x:c r="A5" s="1" t="str">
        <x:v>hora_salida; hora_llegada</x:v>
      </x:c>
      <x:c r="B5" s="1" t="str">
        <x:v>Inicio y fin del tramo de entrega base, con atención incluida.</x:v>
      </x:c>
    </x:row>
    <x:row r="6">
      <x:c r="A6" s="1" t="str">
        <x:v>tiempo_min</x:v>
      </x:c>
      <x:c r="B6" s="1" t="str">
        <x:v>Minutos del tramo hasta el cliente; excluye el regreso posterior a la última entrega.</x:v>
      </x:c>
    </x:row>
    <x:row r="7">
      <x:c r="A7" s="1" t="str">
        <x:v>distancia_base_asignada_km</x:v>
      </x:c>
      <x:c r="B7" s="1" t="str">
        <x:v>Kilómetros de la operación base imputados al pedido: reparto local + traslado troncal. No representa el escenario propuesto.</x:v>
      </x:c>
    </x:row>
    <x:row r="8">
      <x:c r="A8" s="1" t="str">
        <x:v>km_reparto_local_base</x:v>
      </x:c>
      <x:c r="B8" s="1" t="str">
        <x:v>Tramo local al cliente; el último pedido recibe además el regreso al centro local.</x:v>
      </x:c>
    </x:row>
    <x:row r="9">
      <x:c r="A9" s="1" t="str">
        <x:v>km_troncal_base_asignado</x:v>
      </x:c>
      <x:c r="B9" s="1" t="str">
        <x:v>Distancia desde La Ceiba al municipio asignada al primer pedido y retorno asignado al último; cero en La Ceiba.</x:v>
      </x:c>
    </x:row>
    <x:row r="10">
      <x:c r="A10" s="1" t="str">
        <x:v>costo_combustible_base_L</x:v>
      </x:c>
      <x:c r="B10" s="1" t="str">
        <x:v>Costo imputado del escenario base: kilómetros / rendimiento × precio diésel vigente; no es gasto histórico.</x:v>
      </x:c>
    </x:row>
    <x:row r="11">
      <x:c r="A11" s="1" t="str">
        <x:v>estado_entrega</x:v>
      </x:c>
      <x:c r="B11" s="1" t="str">
        <x:v>Entregado si hora_llegada no supera hora_limite; Retrasado si la supera.</x:v>
      </x:c>
    </x:row>
    <x:row r="12">
      <x:c r="A12" s="1" t="str">
        <x:v>prioridad; hora_limite</x:v>
      </x:c>
      <x:c r="B12" s="1" t="str">
        <x:v>Alta 08:20, Media 08:50, Baja 09:30.</x:v>
      </x:c>
    </x:row>
    <x:row r="13">
      <x:c r="A13" s="1" t="str">
        <x:v>orden_actual; orden_optimizado</x:v>
      </x:c>
      <x:c r="B13" s="1" t="str">
        <x:v>Posición del pedido en cada secuencia.</x:v>
      </x:c>
    </x:row>
    <x:row r="14">
      <x:c r="A14" s="1" t="str">
        <x:v>Rutas_Diarias</x:v>
      </x:c>
      <x:c r="B14" s="1" t="str">
        <x:v>Cada fecha y par de municipios muestra la suma de rutas base y una ruta conjunta propuesta, con cálculo de capacidad y jornada.</x:v>
      </x:c>
    </x:row>
    <x:row r="15">
      <x:c r="A15" s="1" t="str">
        <x:v>Rutas_Comparacion</x:v>
      </x:c>
      <x:c r="B15" s="1" t="str">
        <x:v>Cuatro filas, una por zona propuesta. Agrega las rutas diarias sin duplicar kilómetros ni costos.</x:v>
      </x:c>
    </x:row>
    <x:row r="16">
      <x:c r="A16" s="1" t="str">
        <x:v>Rutas_Base</x:v>
      </x:c>
      <x:c r="B16" s="1" t="str">
        <x:v>Solo operación base por municipio. Sus columnas de reordenación local no equivalen al escenario de cuatro zonas.</x:v>
      </x:c>
    </x:row>
    <x:row r="17">
      <x:c r="A17" s="1" t="str">
        <x:v>distancia_optimizada_km</x:v>
      </x:c>
      <x:c r="B17" s="1" t="str">
        <x:v>En Rutas_Diarias y Rutas_Comparacion, distancia del escenario de cuatro zonas; mismos pedidos y fechas que la base.</x:v>
      </x:c>
    </x:row>
    <x:row r="18">
      <x:c r="A18" s="1" t="str">
        <x:v>ahorro_km; ahorro_costo; ahorro_tiempo_min</x:v>
      </x:c>
      <x:c r="B18" s="1" t="str">
        <x:v>Valor actual menos propuesto; potencial, no resultado vial medido.</x:v>
      </x:c>
    </x:row>
    <x:row r="19">
      <x:c r="A19" s="1" t="str">
        <x:v>ahorro_porcentaje</x:v>
      </x:c>
      <x:c r="B19" s="1" t="str">
        <x:v>100 × ahorro_km / distancia_actual_km.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110000610351562" hidden="0" customWidth="1"/>
    <x:col min="2" max="2" width="67.77999877929688" hidden="0" customWidth="1"/>
  </x:cols>
  <x:sheetData>
    <x:row r="1" ht="30" customHeight="1">
      <x:c r="A1" s="3" t="str">
        <x:v>Campo</x:v>
      </x:c>
      <x:c r="B1" s="3" t="str">
        <x:v>Valor</x:v>
      </x:c>
    </x:row>
    <x:row r="2">
      <x:c r="A2" s="1" t="str">
        <x:v>Empresa</x:v>
      </x:c>
      <x:c r="B2" s="1" t="str">
        <x:v>Distribuidora Atlántida Express S. de R.L. de C.V. (ficticia)</x:v>
      </x:c>
    </x:row>
    <x:row r="3">
      <x:c r="A3" s="1" t="str">
        <x:v>Giro</x:v>
      </x:c>
      <x:c r="B3" s="1" t="str">
        <x:v>Distribución simulada de abarrotes, bebidas y snacks</x:v>
      </x:c>
    </x:row>
    <x:row r="4">
      <x:c r="A4" s="1" t="str">
        <x:v>Cobertura</x:v>
      </x:c>
      <x:c r="B4" s="1" t="str">
        <x:v>Ocho municipios de Atlántida, Honduras</x:v>
      </x:c>
    </x:row>
    <x:row r="5">
      <x:c r="A5" s="1" t="str">
        <x:v>Uso</x:v>
      </x:c>
      <x:c r="B5" s="1" t="str">
        <x:v>Caso académico de análisis de datos y planificación logística</x:v>
      </x:c>
    </x:row>
  </x:sheetData>
  <x:pageMargins left="0.7" right="0.7" top="0.75" bottom="0.75" header="0.3" footer="0.3"/>
</x:worksheet>
</file>